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andre\Documents\GitHub\Structural-Mechanics-Calculator\"/>
    </mc:Choice>
  </mc:AlternateContent>
  <xr:revisionPtr revIDLastSave="0" documentId="8_{D792F826-E760-4B14-9501-14DEC4F0A198}" xr6:coauthVersionLast="47" xr6:coauthVersionMax="47" xr10:uidLastSave="{00000000-0000-0000-0000-000000000000}"/>
  <bookViews>
    <workbookView xWindow="-108" yWindow="-108" windowWidth="23256" windowHeight="12456" activeTab="2" xr2:uid="{E7A7FAC0-CBAD-4319-8B03-476E364377F2}"/>
  </bookViews>
  <sheets>
    <sheet name="Material_Proporties" sheetId="2" r:id="rId1"/>
    <sheet name="Canteliver Beam" sheetId="3" r:id="rId2"/>
    <sheet name="Diagrams" sheetId="4" r:id="rId3"/>
  </sheets>
  <externalReferences>
    <externalReference r:id="rId4"/>
  </externalReferences>
  <definedNames>
    <definedName name="A">[1]VERTICAL_BEAM!$B$7</definedName>
    <definedName name="b">[1]VERTICAL_BEAM!$B$3</definedName>
    <definedName name="d_1">[1]VERTICAL_BEAM!$B$16</definedName>
    <definedName name="d_2">[1]VERTICAL_BEAM!$B$17</definedName>
    <definedName name="d_3">[1]VERTICAL_BEAM!$B$18</definedName>
    <definedName name="DENSITY" localSheetId="1">[1]Material_Proporties!$B$13</definedName>
    <definedName name="DENSITY">Material_Proporties!$B$13</definedName>
    <definedName name="E" localSheetId="1">[1]Material_Proporties!$B$14</definedName>
    <definedName name="E">Material_Proporties!$B$14</definedName>
    <definedName name="h">[1]VERTICAL_BEAM!$B$5</definedName>
    <definedName name="Ix">[1]VERTICAL_BEAM!$B$9</definedName>
    <definedName name="Iz">[1]VERTICAL_BEAM!$B$8</definedName>
    <definedName name="Jy">[1]VERTICAL_BEAM!$B$10</definedName>
    <definedName name="Jz">'Canteliver Beam'!$B$11</definedName>
    <definedName name="Mx">[1]VERTICAL_BEAM!$B$23</definedName>
    <definedName name="Mz">[1]VERTICAL_BEAM!$B$22</definedName>
    <definedName name="Ny">[1]VERTICAL_BEAM!$B$21</definedName>
    <definedName name="P_1">[1]VERTICAL_BEAM!$B$14</definedName>
    <definedName name="P_2">[1]VERTICAL_BEAM!$B$15</definedName>
    <definedName name="P_3">[1]HORIZONTAL_BEAM_CALCS!$B$16</definedName>
    <definedName name="Qx">[1]VERTICAL_BEAM!$D$27</definedName>
    <definedName name="Qy">[1]VERTICAL_BEAM!$D$28</definedName>
    <definedName name="r_g">[1]VERTICAL_BEAM!$B$56</definedName>
    <definedName name="th">[1]VERTICAL_BEAM!$B$6</definedName>
    <definedName name="Ty">[1]VERTICAL_BEAM!$B$24</definedName>
    <definedName name="Vx">[1]VERTICAL_BEAM!$B$20</definedName>
    <definedName name="Vz">[1]VERTICAL_BEAM!$B$19</definedName>
    <definedName name="w">[1]VERTICAL_BEAM!$B$4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7" i="3" l="1"/>
  <c r="B26" i="3"/>
  <c r="B25" i="3"/>
  <c r="AA13" i="3"/>
  <c r="AA12" i="3"/>
  <c r="AA10" i="3"/>
  <c r="AA9" i="3"/>
  <c r="AC9" i="3" s="1"/>
  <c r="AA6" i="3"/>
  <c r="AA5" i="3"/>
  <c r="AA4" i="3"/>
  <c r="AA3" i="3"/>
  <c r="B3" i="3"/>
  <c r="B4" i="3"/>
  <c r="B5" i="3"/>
  <c r="B2" i="3"/>
  <c r="B62" i="3"/>
  <c r="B61" i="3"/>
  <c r="B59" i="3"/>
  <c r="B58" i="3"/>
  <c r="D58" i="3" s="1"/>
  <c r="B55" i="3"/>
  <c r="B54" i="3"/>
  <c r="B53" i="3"/>
  <c r="B52" i="3"/>
  <c r="W6" i="3"/>
  <c r="W5" i="3"/>
  <c r="W4" i="3"/>
  <c r="V4" i="3"/>
  <c r="W3" i="3"/>
  <c r="Q9" i="3"/>
  <c r="N9" i="3"/>
  <c r="Q8" i="3"/>
  <c r="N8" i="3"/>
  <c r="Q7" i="3"/>
  <c r="N7" i="3"/>
  <c r="Q6" i="3"/>
  <c r="N6" i="3"/>
  <c r="P3" i="3"/>
  <c r="P2" i="3"/>
  <c r="H14" i="3"/>
  <c r="H13" i="3"/>
  <c r="H11" i="3"/>
  <c r="J7" i="3"/>
  <c r="H7" i="3"/>
  <c r="J6" i="3"/>
  <c r="H6" i="3"/>
  <c r="J5" i="3"/>
  <c r="H5" i="3" s="1"/>
  <c r="H3" i="3"/>
  <c r="H2" i="3"/>
  <c r="B13" i="3"/>
  <c r="D7" i="3"/>
  <c r="B7" i="3" s="1"/>
  <c r="C25" i="2"/>
  <c r="B25" i="2"/>
  <c r="C24" i="2"/>
  <c r="B24" i="2"/>
  <c r="C23" i="2"/>
  <c r="B23" i="2"/>
  <c r="C22" i="2"/>
  <c r="B22" i="2"/>
  <c r="C21" i="2"/>
  <c r="B21" i="2"/>
  <c r="B20" i="2"/>
  <c r="W19" i="2"/>
  <c r="B19" i="2"/>
  <c r="X10" i="2"/>
  <c r="U10" i="2"/>
  <c r="X5" i="2"/>
  <c r="U5" i="2"/>
  <c r="V16" i="2" s="1"/>
  <c r="B17" i="3" a="1"/>
  <c r="D11" i="3" a="1"/>
  <c r="D10" i="3" a="1"/>
  <c r="D9" i="3" a="1"/>
  <c r="B11" i="3" a="1"/>
  <c r="B10" i="3" a="1"/>
  <c r="B9" i="3" a="1"/>
  <c r="B24" i="3" a="1"/>
  <c r="X6" i="3" l="1"/>
  <c r="X3" i="3"/>
  <c r="B17" i="3"/>
  <c r="D11" i="3"/>
  <c r="D10" i="3"/>
  <c r="D9" i="3"/>
  <c r="B11" i="3"/>
  <c r="B10" i="3"/>
  <c r="B9" i="3"/>
  <c r="B24" i="3"/>
  <c r="X4" i="3"/>
  <c r="V6" i="3"/>
  <c r="X5" i="3"/>
  <c r="V9" i="3" s="1"/>
  <c r="V5" i="3"/>
  <c r="V3" i="3"/>
  <c r="V12" i="3" s="1"/>
  <c r="V13" i="3" s="1"/>
  <c r="V14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<sst xmlns="http://schemas.openxmlformats.org/spreadsheetml/2006/main" count="154" uniqueCount="86">
  <si>
    <t>A500 Steel Properties</t>
  </si>
  <si>
    <t>Tensile Strength</t>
  </si>
  <si>
    <t>Grade A</t>
  </si>
  <si>
    <t>MPA</t>
  </si>
  <si>
    <t>Grade B</t>
  </si>
  <si>
    <t>Grade C</t>
  </si>
  <si>
    <t>Grade D</t>
  </si>
  <si>
    <t>Yield Strength</t>
  </si>
  <si>
    <t>Density:</t>
  </si>
  <si>
    <t>kg/m^3</t>
  </si>
  <si>
    <t>Youngs modulus:</t>
  </si>
  <si>
    <t>Gpa</t>
  </si>
  <si>
    <t>M=</t>
  </si>
  <si>
    <t>4x4 thickness options (in)</t>
  </si>
  <si>
    <t>in</t>
  </si>
  <si>
    <t>mm</t>
  </si>
  <si>
    <t>Pa</t>
  </si>
  <si>
    <t>BEAM DIMENSIONS</t>
  </si>
  <si>
    <t>Base (z):</t>
  </si>
  <si>
    <t>m</t>
  </si>
  <si>
    <t>Width (x):</t>
  </si>
  <si>
    <t>Height (y):</t>
  </si>
  <si>
    <t>Thickness:</t>
  </si>
  <si>
    <t>Area:</t>
  </si>
  <si>
    <t>in^2</t>
  </si>
  <si>
    <t>Iz:</t>
  </si>
  <si>
    <t>in^4</t>
  </si>
  <si>
    <t>Ix:</t>
  </si>
  <si>
    <t>Jy:</t>
  </si>
  <si>
    <t>c:</t>
  </si>
  <si>
    <t>FORCES</t>
  </si>
  <si>
    <t>P_1 (y):</t>
  </si>
  <si>
    <t>N</t>
  </si>
  <si>
    <t>kg</t>
  </si>
  <si>
    <t>P_2 (y):</t>
  </si>
  <si>
    <t>d_1 (z):</t>
  </si>
  <si>
    <t>d_2 (z):</t>
  </si>
  <si>
    <t>d_3 (x):</t>
  </si>
  <si>
    <t>Vz:</t>
  </si>
  <si>
    <t>Vx:</t>
  </si>
  <si>
    <t>Ny:</t>
  </si>
  <si>
    <t>Mz:</t>
  </si>
  <si>
    <t>Nm</t>
  </si>
  <si>
    <t>Mx:</t>
  </si>
  <si>
    <t>Ty:</t>
  </si>
  <si>
    <t>STRESSES</t>
  </si>
  <si>
    <t>Normal (x): N/A + My/I</t>
  </si>
  <si>
    <t>Qx=</t>
  </si>
  <si>
    <t>Normal (y): N/A + My/I</t>
  </si>
  <si>
    <t>Qy=</t>
  </si>
  <si>
    <t>Shear (xy): Tc/J + VQ/It</t>
  </si>
  <si>
    <t>Normal (y)</t>
  </si>
  <si>
    <t>Normal (z)</t>
  </si>
  <si>
    <t>Normal (x)</t>
  </si>
  <si>
    <t>Shear (yz)</t>
  </si>
  <si>
    <t>Shear (xz)</t>
  </si>
  <si>
    <t>Shear (xy)</t>
  </si>
  <si>
    <t>FAILURE THEORIES</t>
  </si>
  <si>
    <t>Principal Stresses</t>
  </si>
  <si>
    <r>
      <rPr>
        <sz val="12"/>
        <color theme="1"/>
        <rFont val="Verdana"/>
        <family val="2"/>
      </rPr>
      <t>σ</t>
    </r>
    <r>
      <rPr>
        <sz val="10"/>
        <color theme="1"/>
        <rFont val="Verdana"/>
        <family val="2"/>
      </rPr>
      <t>_1</t>
    </r>
  </si>
  <si>
    <r>
      <rPr>
        <sz val="12"/>
        <color theme="1"/>
        <rFont val="Verdana"/>
        <family val="2"/>
      </rPr>
      <t>σ</t>
    </r>
    <r>
      <rPr>
        <sz val="10"/>
        <color theme="1"/>
        <rFont val="Verdana"/>
        <family val="2"/>
      </rPr>
      <t>_2</t>
    </r>
  </si>
  <si>
    <r>
      <rPr>
        <sz val="12"/>
        <color theme="1"/>
        <rFont val="Verdana"/>
        <family val="2"/>
      </rPr>
      <t>τ</t>
    </r>
    <r>
      <rPr>
        <sz val="10"/>
        <color theme="1"/>
        <rFont val="Verdana"/>
        <family val="2"/>
      </rPr>
      <t>_max</t>
    </r>
  </si>
  <si>
    <t>Maximum Shear Stress Theory</t>
  </si>
  <si>
    <t>Maximum Distortion Energy Theory</t>
  </si>
  <si>
    <t>Mpa</t>
  </si>
  <si>
    <t>Safety Factor:</t>
  </si>
  <si>
    <t>BUCKLING</t>
  </si>
  <si>
    <t>Variables:</t>
  </si>
  <si>
    <t>E=</t>
  </si>
  <si>
    <t>I=</t>
  </si>
  <si>
    <t>m^4</t>
  </si>
  <si>
    <t>L=</t>
  </si>
  <si>
    <t>r=</t>
  </si>
  <si>
    <t>Centroidal Loading</t>
  </si>
  <si>
    <t>Pcr</t>
  </si>
  <si>
    <r>
      <rPr>
        <sz val="12"/>
        <color theme="1"/>
        <rFont val="Verdana"/>
        <family val="2"/>
      </rPr>
      <t>σ</t>
    </r>
    <r>
      <rPr>
        <sz val="10"/>
        <color theme="1"/>
        <rFont val="Verdana"/>
        <family val="2"/>
      </rPr>
      <t>cr</t>
    </r>
  </si>
  <si>
    <t>MPa</t>
  </si>
  <si>
    <t>Eccentric Loading</t>
  </si>
  <si>
    <r>
      <t>σ</t>
    </r>
    <r>
      <rPr>
        <sz val="10"/>
        <color theme="1"/>
        <rFont val="Verdana"/>
        <family val="2"/>
      </rPr>
      <t>max</t>
    </r>
  </si>
  <si>
    <t>Vmax</t>
  </si>
  <si>
    <t>Inputs from CAD:</t>
  </si>
  <si>
    <t>m^2</t>
  </si>
  <si>
    <t>x</t>
  </si>
  <si>
    <t>z</t>
  </si>
  <si>
    <t>z"</t>
  </si>
  <si>
    <t>z'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</si>
</sst>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"/>
    <numFmt numFmtId="165" formatCode="#\ ???/???"/>
    <numFmt numFmtId="166" formatCode="0.000"/>
  </numFmts>
  <fonts count="4" x14ac:knownFonts="1">
    <font>
      <sz val="10"/>
      <color theme="1"/>
      <name val="Verdana"/>
      <family val="2"/>
    </font>
    <font>
      <sz val="10"/>
      <color rgb="FFFF0000"/>
      <name val="Verdana"/>
      <family val="2"/>
    </font>
    <font>
      <b/>
      <sz val="10"/>
      <color theme="1"/>
      <name val="Verdana"/>
      <family val="2"/>
    </font>
    <font>
      <sz val="12"/>
      <color theme="1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/>
    </xf>
    <xf numFmtId="165" fontId="0" fillId="0" borderId="0" xfId="0" applyNumberFormat="1" applyAlignment="1">
      <alignment horizontal="right"/>
    </xf>
    <xf numFmtId="12" fontId="0" fillId="0" borderId="0" xfId="0" applyNumberFormat="1"/>
    <xf numFmtId="0" fontId="2" fillId="0" borderId="0" xfId="0" applyFont="1" applyAlignment="1">
      <alignment horizontal="left"/>
    </xf>
    <xf numFmtId="0" fontId="0" fillId="2" borderId="0" xfId="0" applyFill="1"/>
    <xf numFmtId="0" fontId="3" fillId="0" borderId="0" xfId="0" applyFont="1" applyAlignment="1">
      <alignment horizontal="right"/>
    </xf>
    <xf numFmtId="0" fontId="2" fillId="0" borderId="1" xfId="0" applyFont="1" applyBorder="1" applyAlignment="1">
      <alignment horizontal="left"/>
    </xf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right"/>
    </xf>
    <xf numFmtId="0" fontId="0" fillId="0" borderId="5" xfId="0" applyBorder="1"/>
    <xf numFmtId="166" fontId="0" fillId="0" borderId="0" xfId="0" applyNumberFormat="1"/>
    <xf numFmtId="0" fontId="2" fillId="0" borderId="4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3" fillId="0" borderId="4" xfId="0" applyFont="1" applyBorder="1" applyAlignment="1">
      <alignment horizontal="right"/>
    </xf>
    <xf numFmtId="0" fontId="0" fillId="0" borderId="4" xfId="0" applyBorder="1"/>
    <xf numFmtId="0" fontId="1" fillId="0" borderId="0" xfId="0" applyFont="1"/>
    <xf numFmtId="0" fontId="1" fillId="0" borderId="5" xfId="0" applyFont="1" applyBorder="1"/>
    <xf numFmtId="0" fontId="0" fillId="3" borderId="0" xfId="0" applyFill="1"/>
    <xf numFmtId="0" fontId="0" fillId="0" borderId="6" xfId="0" applyBorder="1"/>
    <xf numFmtId="0" fontId="0" fillId="0" borderId="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Diagrams!$H$1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Diagrams!$A$2:$A$302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</c:numCache>
            </c:numRef>
          </c:xVal>
          <c:yVal>
            <c:numRef>
              <c:f>Diagrams!$H$2:$H$302</c:f>
              <c:numCache>
                <c:formatCode>General</c:formatCode>
                <c:ptCount val="301"/>
                <c:pt idx="0">
                  <c:v>0</c:v>
                </c:pt>
                <c:pt idx="1">
                  <c:v>-1.2170774243116834E-8</c:v>
                </c:pt>
                <c:pt idx="2">
                  <c:v>-4.8683096972467334E-8</c:v>
                </c:pt>
                <c:pt idx="3">
                  <c:v>-1.0953696818805149E-7</c:v>
                </c:pt>
                <c:pt idx="4">
                  <c:v>-1.9473238788986934E-7</c:v>
                </c:pt>
                <c:pt idx="5">
                  <c:v>-3.0426935607792089E-7</c:v>
                </c:pt>
                <c:pt idx="6">
                  <c:v>-4.3814787275220597E-7</c:v>
                </c:pt>
                <c:pt idx="7">
                  <c:v>-5.9636793791272498E-7</c:v>
                </c:pt>
                <c:pt idx="8">
                  <c:v>-7.7892955155947735E-7</c:v>
                </c:pt>
                <c:pt idx="9">
                  <c:v>-9.8583271369246354E-7</c:v>
                </c:pt>
                <c:pt idx="10">
                  <c:v>-1.2170774243116836E-6</c:v>
                </c:pt>
                <c:pt idx="11">
                  <c:v>-1.4726636834171368E-6</c:v>
                </c:pt>
                <c:pt idx="12">
                  <c:v>-1.7525914910088239E-6</c:v>
                </c:pt>
                <c:pt idx="13">
                  <c:v>-2.0568608470867452E-6</c:v>
                </c:pt>
                <c:pt idx="14">
                  <c:v>-2.3854717516508999E-6</c:v>
                </c:pt>
                <c:pt idx="15">
                  <c:v>-2.7384242047012874E-6</c:v>
                </c:pt>
                <c:pt idx="16">
                  <c:v>-3.1157182062379094E-6</c:v>
                </c:pt>
                <c:pt idx="17">
                  <c:v>-3.5173537562607658E-6</c:v>
                </c:pt>
                <c:pt idx="18">
                  <c:v>-3.9433308547698542E-6</c:v>
                </c:pt>
                <c:pt idx="19">
                  <c:v>-4.393649501765177E-6</c:v>
                </c:pt>
                <c:pt idx="20">
                  <c:v>-4.8683096972467343E-6</c:v>
                </c:pt>
                <c:pt idx="21">
                  <c:v>-5.3673114412145227E-6</c:v>
                </c:pt>
                <c:pt idx="22">
                  <c:v>-5.8906547336685472E-6</c:v>
                </c:pt>
                <c:pt idx="23">
                  <c:v>-6.4383395746088045E-6</c:v>
                </c:pt>
                <c:pt idx="24">
                  <c:v>-7.0103659640352955E-6</c:v>
                </c:pt>
                <c:pt idx="25">
                  <c:v>-7.6067339019480209E-6</c:v>
                </c:pt>
                <c:pt idx="26">
                  <c:v>-8.2274433883469807E-6</c:v>
                </c:pt>
                <c:pt idx="27">
                  <c:v>-8.8724944232321725E-6</c:v>
                </c:pt>
                <c:pt idx="28">
                  <c:v>-9.5418870066035996E-6</c:v>
                </c:pt>
                <c:pt idx="29">
                  <c:v>-1.0235621138461257E-5</c:v>
                </c:pt>
                <c:pt idx="30">
                  <c:v>-1.095369681880515E-5</c:v>
                </c:pt>
                <c:pt idx="31">
                  <c:v>-1.1696114047635278E-5</c:v>
                </c:pt>
                <c:pt idx="32">
                  <c:v>-1.2462872824951638E-5</c:v>
                </c:pt>
                <c:pt idx="33">
                  <c:v>-1.3253973150754233E-5</c:v>
                </c:pt>
                <c:pt idx="34">
                  <c:v>-1.4069415025043063E-5</c:v>
                </c:pt>
                <c:pt idx="35">
                  <c:v>-1.4909198447818119E-5</c:v>
                </c:pt>
                <c:pt idx="36">
                  <c:v>-1.5773323419079417E-5</c:v>
                </c:pt>
                <c:pt idx="37">
                  <c:v>-1.6661789938826945E-5</c:v>
                </c:pt>
                <c:pt idx="38">
                  <c:v>-1.7574598007060708E-5</c:v>
                </c:pt>
                <c:pt idx="39">
                  <c:v>-1.8511747623780707E-5</c:v>
                </c:pt>
                <c:pt idx="40">
                  <c:v>-1.9473238788986937E-5</c:v>
                </c:pt>
                <c:pt idx="41">
                  <c:v>-2.0459071502679396E-5</c:v>
                </c:pt>
                <c:pt idx="42">
                  <c:v>-2.1469245764858091E-5</c:v>
                </c:pt>
                <c:pt idx="43">
                  <c:v>-2.2503761575523024E-5</c:v>
                </c:pt>
                <c:pt idx="44">
                  <c:v>-2.3562618934674189E-5</c:v>
                </c:pt>
                <c:pt idx="45">
                  <c:v>-2.4645817842311589E-5</c:v>
                </c:pt>
                <c:pt idx="46">
                  <c:v>-2.5753358298435218E-5</c:v>
                </c:pt>
                <c:pt idx="47">
                  <c:v>-2.6885240303045082E-5</c:v>
                </c:pt>
                <c:pt idx="48">
                  <c:v>-2.8041463856141182E-5</c:v>
                </c:pt>
                <c:pt idx="49">
                  <c:v>-2.9222028957723513E-5</c:v>
                </c:pt>
                <c:pt idx="50">
                  <c:v>-3.0426935607792083E-5</c:v>
                </c:pt>
                <c:pt idx="51">
                  <c:v>-3.1656183806346889E-5</c:v>
                </c:pt>
                <c:pt idx="52">
                  <c:v>-3.2909773553387923E-5</c:v>
                </c:pt>
                <c:pt idx="53">
                  <c:v>-3.4187704848915192E-5</c:v>
                </c:pt>
                <c:pt idx="54">
                  <c:v>-3.548997769292869E-5</c:v>
                </c:pt>
                <c:pt idx="55">
                  <c:v>-3.681659208542843E-5</c:v>
                </c:pt>
                <c:pt idx="56">
                  <c:v>-3.8167548026414399E-5</c:v>
                </c:pt>
                <c:pt idx="57">
                  <c:v>-3.9542845515886589E-5</c:v>
                </c:pt>
                <c:pt idx="58">
                  <c:v>-4.0942484553845028E-5</c:v>
                </c:pt>
                <c:pt idx="59">
                  <c:v>-4.2366465140289696E-5</c:v>
                </c:pt>
                <c:pt idx="60">
                  <c:v>-4.3814787275220599E-5</c:v>
                </c:pt>
                <c:pt idx="61">
                  <c:v>-4.5287450958637737E-5</c:v>
                </c:pt>
                <c:pt idx="62">
                  <c:v>-4.678445619054111E-5</c:v>
                </c:pt>
                <c:pt idx="63">
                  <c:v>-4.8305802970930719E-5</c:v>
                </c:pt>
                <c:pt idx="64">
                  <c:v>-4.985149129980655E-5</c:v>
                </c:pt>
                <c:pt idx="65">
                  <c:v>-5.1421521177168623E-5</c:v>
                </c:pt>
                <c:pt idx="66">
                  <c:v>-5.3015892603016931E-5</c:v>
                </c:pt>
                <c:pt idx="67">
                  <c:v>-5.4634605577351474E-5</c:v>
                </c:pt>
                <c:pt idx="68">
                  <c:v>-5.6277660100172253E-5</c:v>
                </c:pt>
                <c:pt idx="69">
                  <c:v>-5.794505617147924E-5</c:v>
                </c:pt>
                <c:pt idx="70">
                  <c:v>-5.9636793791272476E-5</c:v>
                </c:pt>
                <c:pt idx="71">
                  <c:v>-6.1352872959551967E-5</c:v>
                </c:pt>
                <c:pt idx="72">
                  <c:v>-6.3093293676317667E-5</c:v>
                </c:pt>
                <c:pt idx="73">
                  <c:v>-6.4858055941569595E-5</c:v>
                </c:pt>
                <c:pt idx="74">
                  <c:v>-6.6647159755307779E-5</c:v>
                </c:pt>
                <c:pt idx="75">
                  <c:v>-6.8460605117532191E-5</c:v>
                </c:pt>
                <c:pt idx="76">
                  <c:v>-7.0298392028242832E-5</c:v>
                </c:pt>
                <c:pt idx="77">
                  <c:v>-7.2160520487439702E-5</c:v>
                </c:pt>
                <c:pt idx="78">
                  <c:v>-7.4046990495122827E-5</c:v>
                </c:pt>
                <c:pt idx="79">
                  <c:v>-7.595780205129218E-5</c:v>
                </c:pt>
                <c:pt idx="80">
                  <c:v>-7.7892955155947749E-5</c:v>
                </c:pt>
                <c:pt idx="81">
                  <c:v>-7.985244980908956E-5</c:v>
                </c:pt>
                <c:pt idx="82">
                  <c:v>-8.1836286010717585E-5</c:v>
                </c:pt>
                <c:pt idx="83">
                  <c:v>-8.3844463760831867E-5</c:v>
                </c:pt>
                <c:pt idx="84">
                  <c:v>-8.5876983059432363E-5</c:v>
                </c:pt>
                <c:pt idx="85">
                  <c:v>-8.7933843906519115E-5</c:v>
                </c:pt>
                <c:pt idx="86">
                  <c:v>-9.0015046302092095E-5</c:v>
                </c:pt>
                <c:pt idx="87">
                  <c:v>-9.2120590246151318E-5</c:v>
                </c:pt>
                <c:pt idx="88">
                  <c:v>-9.4250475738696756E-5</c:v>
                </c:pt>
                <c:pt idx="89">
                  <c:v>-9.6404702779728449E-5</c:v>
                </c:pt>
                <c:pt idx="90">
                  <c:v>-9.8583271369246357E-5</c:v>
                </c:pt>
                <c:pt idx="91">
                  <c:v>-1.0078618150725049E-4</c:v>
                </c:pt>
                <c:pt idx="92">
                  <c:v>-1.0301343319374087E-4</c:v>
                </c:pt>
                <c:pt idx="93">
                  <c:v>-1.0526502642871751E-4</c:v>
                </c:pt>
                <c:pt idx="94">
                  <c:v>-1.0754096121218033E-4</c:v>
                </c:pt>
                <c:pt idx="95">
                  <c:v>-1.0984123754412942E-4</c:v>
                </c:pt>
                <c:pt idx="96">
                  <c:v>-1.1216585542456473E-4</c:v>
                </c:pt>
                <c:pt idx="97">
                  <c:v>-1.1451481485348629E-4</c:v>
                </c:pt>
                <c:pt idx="98">
                  <c:v>-1.1688811583089405E-4</c:v>
                </c:pt>
                <c:pt idx="99">
                  <c:v>-1.1928575835678809E-4</c:v>
                </c:pt>
                <c:pt idx="100">
                  <c:v>-1.2170774243116833E-4</c:v>
                </c:pt>
                <c:pt idx="101">
                  <c:v>-1.2415406805403484E-4</c:v>
                </c:pt>
                <c:pt idx="102">
                  <c:v>-1.2662473522538756E-4</c:v>
                </c:pt>
                <c:pt idx="103">
                  <c:v>-1.2911974394522649E-4</c:v>
                </c:pt>
                <c:pt idx="104">
                  <c:v>-1.3163909421355169E-4</c:v>
                </c:pt>
                <c:pt idx="105">
                  <c:v>-1.3418278603036311E-4</c:v>
                </c:pt>
                <c:pt idx="106">
                  <c:v>-1.3675081939566077E-4</c:v>
                </c:pt>
                <c:pt idx="107">
                  <c:v>-1.3934319430944464E-4</c:v>
                </c:pt>
                <c:pt idx="108">
                  <c:v>-1.4195991077171476E-4</c:v>
                </c:pt>
                <c:pt idx="109">
                  <c:v>-1.4460096878247112E-4</c:v>
                </c:pt>
                <c:pt idx="110">
                  <c:v>-1.4726636834171372E-4</c:v>
                </c:pt>
                <c:pt idx="111">
                  <c:v>-1.4995610944944254E-4</c:v>
                </c:pt>
                <c:pt idx="112">
                  <c:v>-1.5267019210565759E-4</c:v>
                </c:pt>
                <c:pt idx="113">
                  <c:v>-1.5540861631035881E-4</c:v>
                </c:pt>
                <c:pt idx="114">
                  <c:v>-1.5817138206354636E-4</c:v>
                </c:pt>
                <c:pt idx="115">
                  <c:v>-1.6095848936522009E-4</c:v>
                </c:pt>
                <c:pt idx="116">
                  <c:v>-1.6376993821538011E-4</c:v>
                </c:pt>
                <c:pt idx="117">
                  <c:v>-1.666057286140263E-4</c:v>
                </c:pt>
                <c:pt idx="118">
                  <c:v>-1.6946586056115878E-4</c:v>
                </c:pt>
                <c:pt idx="119">
                  <c:v>-1.7235033405677748E-4</c:v>
                </c:pt>
                <c:pt idx="120">
                  <c:v>-1.7525914910088239E-4</c:v>
                </c:pt>
                <c:pt idx="121">
                  <c:v>-1.7819230569347355E-4</c:v>
                </c:pt>
                <c:pt idx="122">
                  <c:v>-1.8114980383455095E-4</c:v>
                </c:pt>
                <c:pt idx="123">
                  <c:v>-1.8413164352411456E-4</c:v>
                </c:pt>
                <c:pt idx="124">
                  <c:v>-1.8713782476216444E-4</c:v>
                </c:pt>
                <c:pt idx="125">
                  <c:v>-1.9016834754870054E-4</c:v>
                </c:pt>
                <c:pt idx="126">
                  <c:v>-1.9322321188372288E-4</c:v>
                </c:pt>
                <c:pt idx="127">
                  <c:v>-1.963024177672314E-4</c:v>
                </c:pt>
                <c:pt idx="128">
                  <c:v>-1.994059651992262E-4</c:v>
                </c:pt>
                <c:pt idx="129">
                  <c:v>-2.0253385417970724E-4</c:v>
                </c:pt>
                <c:pt idx="130">
                  <c:v>-2.0568608470867449E-4</c:v>
                </c:pt>
                <c:pt idx="131">
                  <c:v>-2.0886265678612799E-4</c:v>
                </c:pt>
                <c:pt idx="132">
                  <c:v>-2.1206357041206772E-4</c:v>
                </c:pt>
                <c:pt idx="133">
                  <c:v>-2.152888255864937E-4</c:v>
                </c:pt>
                <c:pt idx="134">
                  <c:v>-2.185384223094059E-4</c:v>
                </c:pt>
                <c:pt idx="135">
                  <c:v>-2.2181236058080431E-4</c:v>
                </c:pt>
                <c:pt idx="136">
                  <c:v>-2.2511064040068901E-4</c:v>
                </c:pt>
                <c:pt idx="137">
                  <c:v>-2.2843326176905985E-4</c:v>
                </c:pt>
                <c:pt idx="138">
                  <c:v>-2.3178022468591696E-4</c:v>
                </c:pt>
                <c:pt idx="139">
                  <c:v>-2.3515152915126031E-4</c:v>
                </c:pt>
                <c:pt idx="140">
                  <c:v>-2.385471751650899E-4</c:v>
                </c:pt>
                <c:pt idx="141">
                  <c:v>-2.4196716272740576E-4</c:v>
                </c:pt>
                <c:pt idx="142">
                  <c:v>-2.4541149183820787E-4</c:v>
                </c:pt>
                <c:pt idx="143">
                  <c:v>-2.4888016249749608E-4</c:v>
                </c:pt>
                <c:pt idx="144">
                  <c:v>-2.5237317470527067E-4</c:v>
                </c:pt>
                <c:pt idx="145">
                  <c:v>-2.5589052846153142E-4</c:v>
                </c:pt>
                <c:pt idx="146">
                  <c:v>-2.5943222376627838E-4</c:v>
                </c:pt>
                <c:pt idx="147">
                  <c:v>-2.6299826061951161E-4</c:v>
                </c:pt>
                <c:pt idx="148">
                  <c:v>-2.6658863902123112E-4</c:v>
                </c:pt>
                <c:pt idx="149">
                  <c:v>-2.7020335897143678E-4</c:v>
                </c:pt>
                <c:pt idx="150">
                  <c:v>-2.7384242047012876E-4</c:v>
                </c:pt>
                <c:pt idx="151">
                  <c:v>-2.7750582351730697E-4</c:v>
                </c:pt>
                <c:pt idx="152">
                  <c:v>-2.8119356811297133E-4</c:v>
                </c:pt>
                <c:pt idx="153">
                  <c:v>-2.8490565425712196E-4</c:v>
                </c:pt>
                <c:pt idx="154">
                  <c:v>-2.8864208194975881E-4</c:v>
                </c:pt>
                <c:pt idx="155">
                  <c:v>-2.9240285119088198E-4</c:v>
                </c:pt>
                <c:pt idx="156">
                  <c:v>-2.9618796198049131E-4</c:v>
                </c:pt>
                <c:pt idx="157">
                  <c:v>-2.9999741431858685E-4</c:v>
                </c:pt>
                <c:pt idx="158">
                  <c:v>-3.0383120820516872E-4</c:v>
                </c:pt>
                <c:pt idx="159">
                  <c:v>-3.076893436402367E-4</c:v>
                </c:pt>
                <c:pt idx="160">
                  <c:v>-3.11571820623791E-4</c:v>
                </c:pt>
                <c:pt idx="161">
                  <c:v>-3.1547863915583146E-4</c:v>
                </c:pt>
                <c:pt idx="162">
                  <c:v>-3.1940979923635824E-4</c:v>
                </c:pt>
                <c:pt idx="163">
                  <c:v>-3.2336530086537113E-4</c:v>
                </c:pt>
                <c:pt idx="164">
                  <c:v>-3.2734514404287034E-4</c:v>
                </c:pt>
                <c:pt idx="165">
                  <c:v>-3.3134932876885577E-4</c:v>
                </c:pt>
                <c:pt idx="166">
                  <c:v>-3.3537785504332747E-4</c:v>
                </c:pt>
                <c:pt idx="167">
                  <c:v>-3.3943072286628538E-4</c:v>
                </c:pt>
                <c:pt idx="168">
                  <c:v>-3.4350793223772945E-4</c:v>
                </c:pt>
                <c:pt idx="169">
                  <c:v>-3.4760948315765985E-4</c:v>
                </c:pt>
                <c:pt idx="170">
                  <c:v>-3.5173537562607646E-4</c:v>
                </c:pt>
                <c:pt idx="171">
                  <c:v>-3.5588560964297929E-4</c:v>
                </c:pt>
                <c:pt idx="172">
                  <c:v>-3.6006018520836838E-4</c:v>
                </c:pt>
                <c:pt idx="173">
                  <c:v>-3.6425910232224375E-4</c:v>
                </c:pt>
                <c:pt idx="174">
                  <c:v>-3.6848236098460527E-4</c:v>
                </c:pt>
                <c:pt idx="175">
                  <c:v>-3.7272996119545301E-4</c:v>
                </c:pt>
                <c:pt idx="176">
                  <c:v>-3.7700190295478702E-4</c:v>
                </c:pt>
                <c:pt idx="177">
                  <c:v>-3.8129818626260736E-4</c:v>
                </c:pt>
                <c:pt idx="178">
                  <c:v>-3.856188111189138E-4</c:v>
                </c:pt>
                <c:pt idx="179">
                  <c:v>-3.8996377752370645E-4</c:v>
                </c:pt>
                <c:pt idx="180">
                  <c:v>-3.9433308547698543E-4</c:v>
                </c:pt>
                <c:pt idx="181">
                  <c:v>-3.9872673497875057E-4</c:v>
                </c:pt>
                <c:pt idx="182">
                  <c:v>-4.0314472602900197E-4</c:v>
                </c:pt>
                <c:pt idx="183">
                  <c:v>-4.0758705862773971E-4</c:v>
                </c:pt>
                <c:pt idx="184">
                  <c:v>-4.1205373277496349E-4</c:v>
                </c:pt>
                <c:pt idx="185">
                  <c:v>-4.1654474847067365E-4</c:v>
                </c:pt>
                <c:pt idx="186">
                  <c:v>-4.2106010571487003E-4</c:v>
                </c:pt>
                <c:pt idx="187">
                  <c:v>-4.2559980450755267E-4</c:v>
                </c:pt>
                <c:pt idx="188">
                  <c:v>-4.3016384484872132E-4</c:v>
                </c:pt>
                <c:pt idx="189">
                  <c:v>-4.3475222673837639E-4</c:v>
                </c:pt>
                <c:pt idx="190">
                  <c:v>-4.3936495017651768E-4</c:v>
                </c:pt>
                <c:pt idx="191">
                  <c:v>-4.4400201516314519E-4</c:v>
                </c:pt>
                <c:pt idx="192">
                  <c:v>-4.4866342169825891E-4</c:v>
                </c:pt>
                <c:pt idx="193">
                  <c:v>-4.5334916978185895E-4</c:v>
                </c:pt>
                <c:pt idx="194">
                  <c:v>-4.5805925941394516E-4</c:v>
                </c:pt>
                <c:pt idx="195">
                  <c:v>-4.6279369059451758E-4</c:v>
                </c:pt>
                <c:pt idx="196">
                  <c:v>-4.6755246332357621E-4</c:v>
                </c:pt>
                <c:pt idx="197">
                  <c:v>-4.7233557760112117E-4</c:v>
                </c:pt>
                <c:pt idx="198">
                  <c:v>-4.7714303342715234E-4</c:v>
                </c:pt>
                <c:pt idx="199">
                  <c:v>-4.8197483080166973E-4</c:v>
                </c:pt>
                <c:pt idx="200">
                  <c:v>-4.8683096972467334E-4</c:v>
                </c:pt>
                <c:pt idx="201">
                  <c:v>-4.9171145019616305E-4</c:v>
                </c:pt>
                <c:pt idx="202">
                  <c:v>-4.9661627221613935E-4</c:v>
                </c:pt>
                <c:pt idx="203">
                  <c:v>-5.0154543578460149E-4</c:v>
                </c:pt>
                <c:pt idx="204">
                  <c:v>-5.0649894090155022E-4</c:v>
                </c:pt>
                <c:pt idx="205">
                  <c:v>-5.114767875669849E-4</c:v>
                </c:pt>
                <c:pt idx="206">
                  <c:v>-5.1647897578090596E-4</c:v>
                </c:pt>
                <c:pt idx="207">
                  <c:v>-5.2150550554331306E-4</c:v>
                </c:pt>
                <c:pt idx="208">
                  <c:v>-5.2655637685420677E-4</c:v>
                </c:pt>
                <c:pt idx="209">
                  <c:v>-5.3163158971358631E-4</c:v>
                </c:pt>
                <c:pt idx="210">
                  <c:v>-5.3673114412145244E-4</c:v>
                </c:pt>
                <c:pt idx="211">
                  <c:v>-5.4185504007780451E-4</c:v>
                </c:pt>
                <c:pt idx="212">
                  <c:v>-5.4700327758264308E-4</c:v>
                </c:pt>
                <c:pt idx="213">
                  <c:v>-5.5217585663596747E-4</c:v>
                </c:pt>
                <c:pt idx="214">
                  <c:v>-5.5737277723777858E-4</c:v>
                </c:pt>
                <c:pt idx="215">
                  <c:v>-5.6259403938807562E-4</c:v>
                </c:pt>
                <c:pt idx="216">
                  <c:v>-5.6783964308685904E-4</c:v>
                </c:pt>
                <c:pt idx="217">
                  <c:v>-5.7310958833412863E-4</c:v>
                </c:pt>
                <c:pt idx="218">
                  <c:v>-5.7840387512988448E-4</c:v>
                </c:pt>
                <c:pt idx="219">
                  <c:v>-5.8372250347412649E-4</c:v>
                </c:pt>
                <c:pt idx="220">
                  <c:v>-5.8906547336685488E-4</c:v>
                </c:pt>
                <c:pt idx="221">
                  <c:v>-5.9443278480806932E-4</c:v>
                </c:pt>
                <c:pt idx="222">
                  <c:v>-5.9982443779777015E-4</c:v>
                </c:pt>
                <c:pt idx="223">
                  <c:v>-6.0524043233595702E-4</c:v>
                </c:pt>
                <c:pt idx="224">
                  <c:v>-6.1068076842263038E-4</c:v>
                </c:pt>
                <c:pt idx="225">
                  <c:v>-6.1614544605778968E-4</c:v>
                </c:pt>
                <c:pt idx="226">
                  <c:v>-6.2163446524143525E-4</c:v>
                </c:pt>
                <c:pt idx="227">
                  <c:v>-6.2714782597356731E-4</c:v>
                </c:pt>
                <c:pt idx="228">
                  <c:v>-6.3268552825418542E-4</c:v>
                </c:pt>
                <c:pt idx="229">
                  <c:v>-6.3824757208328991E-4</c:v>
                </c:pt>
                <c:pt idx="230">
                  <c:v>-6.4383395746088034E-4</c:v>
                </c:pt>
                <c:pt idx="231">
                  <c:v>-6.4944468438695737E-4</c:v>
                </c:pt>
                <c:pt idx="232">
                  <c:v>-6.5507975286152045E-4</c:v>
                </c:pt>
                <c:pt idx="233">
                  <c:v>-6.607391628845698E-4</c:v>
                </c:pt>
                <c:pt idx="234">
                  <c:v>-6.664229144561052E-4</c:v>
                </c:pt>
                <c:pt idx="235">
                  <c:v>-6.721310075761273E-4</c:v>
                </c:pt>
                <c:pt idx="236">
                  <c:v>-6.7786344224463513E-4</c:v>
                </c:pt>
                <c:pt idx="237">
                  <c:v>-6.8362021846162945E-4</c:v>
                </c:pt>
                <c:pt idx="238">
                  <c:v>-6.8940133622710992E-4</c:v>
                </c:pt>
                <c:pt idx="239">
                  <c:v>-6.9520679554107667E-4</c:v>
                </c:pt>
                <c:pt idx="240">
                  <c:v>-7.0103659640352958E-4</c:v>
                </c:pt>
                <c:pt idx="241">
                  <c:v>-7.0689073881446886E-4</c:v>
                </c:pt>
                <c:pt idx="242">
                  <c:v>-7.127692227738942E-4</c:v>
                </c:pt>
                <c:pt idx="243">
                  <c:v>-7.1867204828180591E-4</c:v>
                </c:pt>
                <c:pt idx="244">
                  <c:v>-7.2459921533820379E-4</c:v>
                </c:pt>
                <c:pt idx="245">
                  <c:v>-7.3055072394308815E-4</c:v>
                </c:pt>
                <c:pt idx="246">
                  <c:v>-7.3652657409645824E-4</c:v>
                </c:pt>
                <c:pt idx="247">
                  <c:v>-7.4252676579831503E-4</c:v>
                </c:pt>
                <c:pt idx="248">
                  <c:v>-7.4855129904865777E-4</c:v>
                </c:pt>
                <c:pt idx="249">
                  <c:v>-7.5460017384748688E-4</c:v>
                </c:pt>
                <c:pt idx="250">
                  <c:v>-7.6067339019480215E-4</c:v>
                </c:pt>
                <c:pt idx="251">
                  <c:v>-7.6677094809060348E-4</c:v>
                </c:pt>
                <c:pt idx="252">
                  <c:v>-7.7289284753489151E-4</c:v>
                </c:pt>
                <c:pt idx="253">
                  <c:v>-7.7903908852766538E-4</c:v>
                </c:pt>
                <c:pt idx="254">
                  <c:v>-7.8520967106892562E-4</c:v>
                </c:pt>
                <c:pt idx="255">
                  <c:v>-7.9140459515867202E-4</c:v>
                </c:pt>
                <c:pt idx="256">
                  <c:v>-7.976238607969048E-4</c:v>
                </c:pt>
                <c:pt idx="257">
                  <c:v>-8.0386746798362363E-4</c:v>
                </c:pt>
                <c:pt idx="258">
                  <c:v>-8.1013541671882895E-4</c:v>
                </c:pt>
                <c:pt idx="259">
                  <c:v>-8.1642770700252032E-4</c:v>
                </c:pt>
                <c:pt idx="260">
                  <c:v>-8.2274433883469797E-4</c:v>
                </c:pt>
                <c:pt idx="261">
                  <c:v>-8.2908531221536177E-4</c:v>
                </c:pt>
                <c:pt idx="262">
                  <c:v>-8.3545062714451195E-4</c:v>
                </c:pt>
                <c:pt idx="263">
                  <c:v>-8.4184028362214807E-4</c:v>
                </c:pt>
                <c:pt idx="264">
                  <c:v>-8.482542816482709E-4</c:v>
                </c:pt>
                <c:pt idx="265">
                  <c:v>-8.5469262122287956E-4</c:v>
                </c:pt>
                <c:pt idx="266">
                  <c:v>-8.6115530234597481E-4</c:v>
                </c:pt>
                <c:pt idx="267">
                  <c:v>-8.6764232501755601E-4</c:v>
                </c:pt>
                <c:pt idx="268">
                  <c:v>-8.7415368923762359E-4</c:v>
                </c:pt>
                <c:pt idx="269">
                  <c:v>-8.8068939500617711E-4</c:v>
                </c:pt>
                <c:pt idx="270">
                  <c:v>-8.8724944232321723E-4</c:v>
                </c:pt>
                <c:pt idx="271">
                  <c:v>-8.9383383118874339E-4</c:v>
                </c:pt>
                <c:pt idx="272">
                  <c:v>-9.0044256160275605E-4</c:v>
                </c:pt>
                <c:pt idx="273">
                  <c:v>-9.0707563356525443E-4</c:v>
                </c:pt>
                <c:pt idx="274">
                  <c:v>-9.1373304707623941E-4</c:v>
                </c:pt>
                <c:pt idx="275">
                  <c:v>-9.2041480213571054E-4</c:v>
                </c:pt>
                <c:pt idx="276">
                  <c:v>-9.2712089874366784E-4</c:v>
                </c:pt>
                <c:pt idx="277">
                  <c:v>-9.3385133690011162E-4</c:v>
                </c:pt>
                <c:pt idx="278">
                  <c:v>-9.4060611660504124E-4</c:v>
                </c:pt>
                <c:pt idx="279">
                  <c:v>-9.4738523785845756E-4</c:v>
                </c:pt>
                <c:pt idx="280">
                  <c:v>-9.5418870066035961E-4</c:v>
                </c:pt>
                <c:pt idx="281">
                  <c:v>-9.6101650501074847E-4</c:v>
                </c:pt>
                <c:pt idx="282">
                  <c:v>-9.6786865090962306E-4</c:v>
                </c:pt>
                <c:pt idx="283">
                  <c:v>-9.7474513835698413E-4</c:v>
                </c:pt>
                <c:pt idx="284">
                  <c:v>-9.8164596735283148E-4</c:v>
                </c:pt>
                <c:pt idx="285">
                  <c:v>-9.8857113789716476E-4</c:v>
                </c:pt>
                <c:pt idx="286">
                  <c:v>-9.9552064998998432E-4</c:v>
                </c:pt>
                <c:pt idx="287">
                  <c:v>-1.0024945036312906E-3</c:v>
                </c:pt>
                <c:pt idx="288">
                  <c:v>-1.0094926988210827E-3</c:v>
                </c:pt>
                <c:pt idx="289">
                  <c:v>-1.0165152355593612E-3</c:v>
                </c:pt>
                <c:pt idx="290">
                  <c:v>-1.0235621138461257E-3</c:v>
                </c:pt>
                <c:pt idx="291">
                  <c:v>-1.0306333336813768E-3</c:v>
                </c:pt>
                <c:pt idx="292">
                  <c:v>-1.0377288950651135E-3</c:v>
                </c:pt>
                <c:pt idx="293">
                  <c:v>-1.0448487979973372E-3</c:v>
                </c:pt>
                <c:pt idx="294">
                  <c:v>-1.0519930424780465E-3</c:v>
                </c:pt>
                <c:pt idx="295">
                  <c:v>-1.0591616285072426E-3</c:v>
                </c:pt>
                <c:pt idx="296">
                  <c:v>-1.0663545560849245E-3</c:v>
                </c:pt>
                <c:pt idx="297">
                  <c:v>-1.0735718252110932E-3</c:v>
                </c:pt>
                <c:pt idx="298">
                  <c:v>-1.0808134358857471E-3</c:v>
                </c:pt>
                <c:pt idx="299">
                  <c:v>-1.0880793881088882E-3</c:v>
                </c:pt>
                <c:pt idx="300">
                  <c:v>-1.0953696818805151E-3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1-4DBA-B45A-CE763102E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994576"/>
        <c:axId val="733002120"/>
      </c:scatterChart>
      <c:valAx>
        <c:axId val="732994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02120"/>
        <c:crosses val="autoZero"/>
        <c:crossBetween val="midCat"/>
      </c:valAx>
      <c:valAx>
        <c:axId val="733002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994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1" Type="http://schemas.openxmlformats.org/officeDocument/2006/relationships/customXml" Target="../ink/ink1.xml"/><Relationship Id="rId5" Type="http://schemas.openxmlformats.org/officeDocument/2006/relationships/image" Target="../media/image3.png"/><Relationship Id="rId4" Type="http://schemas.openxmlformats.org/officeDocument/2006/relationships/customXml" Target="../ink/ink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485775</xdr:colOff>
      <xdr:row>14</xdr:row>
      <xdr:rowOff>85725</xdr:rowOff>
    </xdr:from>
    <xdr:to>
      <xdr:col>25</xdr:col>
      <xdr:colOff>57150</xdr:colOff>
      <xdr:row>15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5DB9E27-777A-441D-BFEA-01DF4A2CEE7F}"/>
            </a:ext>
          </a:extLst>
        </xdr:cNvPr>
        <xdr:cNvSpPr/>
      </xdr:nvSpPr>
      <xdr:spPr>
        <a:xfrm>
          <a:off x="14458950" y="2352675"/>
          <a:ext cx="3905250" cy="76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476145</xdr:colOff>
      <xdr:row>12</xdr:row>
      <xdr:rowOff>37950</xdr:rowOff>
    </xdr:from>
    <xdr:to>
      <xdr:col>24</xdr:col>
      <xdr:colOff>480990</xdr:colOff>
      <xdr:row>17</xdr:row>
      <xdr:rowOff>103485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5A39DAA3-17E4-402A-B8D2-F43E84EFD944}"/>
                </a:ext>
              </a:extLst>
            </xdr14:cNvPr>
            <xdr14:cNvContentPartPr/>
          </xdr14:nvContentPartPr>
          <xdr14:nvPr macro=""/>
          <xdr14:xfrm>
            <a:off x="14725545" y="847575"/>
            <a:ext cx="3652920" cy="87516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23212EB6-6EDF-4A3C-A22E-FCE8DC50C41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4716545" y="838575"/>
              <a:ext cx="3670560" cy="89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342585</xdr:colOff>
      <xdr:row>14</xdr:row>
      <xdr:rowOff>9300</xdr:rowOff>
    </xdr:from>
    <xdr:to>
      <xdr:col>22</xdr:col>
      <xdr:colOff>457785</xdr:colOff>
      <xdr:row>14</xdr:row>
      <xdr:rowOff>108660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CC8865C1-6B66-4237-AB1A-BEE1C9EF37A4}"/>
                </a:ext>
              </a:extLst>
            </xdr14:cNvPr>
            <xdr14:cNvContentPartPr/>
          </xdr14:nvContentPartPr>
          <xdr14:nvPr macro=""/>
          <xdr14:xfrm>
            <a:off x="16649385" y="1142775"/>
            <a:ext cx="115200" cy="9936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9D98C35A-06B3-4C76-B1D0-AA7637E5DCE7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6640745" y="1134135"/>
              <a:ext cx="132840" cy="117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581025</xdr:colOff>
      <xdr:row>3</xdr:row>
      <xdr:rowOff>23812</xdr:rowOff>
    </xdr:from>
    <xdr:to>
      <xdr:col>16</xdr:col>
      <xdr:colOff>352425</xdr:colOff>
      <xdr:row>20</xdr:row>
      <xdr:rowOff>14287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217753-052A-464B-9344-23CEF0748A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SP\Process%20Engineering\9%20-%20Handover\Co-op_Students\Alex%20Porter\Buffer%20Rack\Mechanics%20Analysi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terial_Proporties"/>
      <sheetName val="HORIZONTAL_BEAM"/>
      <sheetName val="VERTICAL_BEAM"/>
      <sheetName val="VERTICAL_BEAM_BMD"/>
      <sheetName val="Rev 10"/>
      <sheetName val="SHEET3"/>
      <sheetName val="Sheet2"/>
      <sheetName val="Sheet1"/>
      <sheetName val="HORIZONTAL_BEAM_CALCS"/>
      <sheetName val="HORIZONTAL_BEAM_BMD (2)"/>
    </sheetNames>
    <sheetDataSet>
      <sheetData sheetId="0">
        <row r="8">
          <cell r="B8">
            <v>228</v>
          </cell>
        </row>
        <row r="13">
          <cell r="B13">
            <v>7850</v>
          </cell>
        </row>
        <row r="14">
          <cell r="B14">
            <v>190</v>
          </cell>
        </row>
      </sheetData>
      <sheetData sheetId="1" refreshError="1"/>
      <sheetData sheetId="2">
        <row r="3">
          <cell r="B3">
            <v>0.1016</v>
          </cell>
        </row>
        <row r="4">
          <cell r="B4">
            <v>0.1016</v>
          </cell>
        </row>
        <row r="5">
          <cell r="B5">
            <v>3.8260000000000001</v>
          </cell>
        </row>
        <row r="6">
          <cell r="B6">
            <v>2.5399999999999999E-2</v>
          </cell>
        </row>
        <row r="7">
          <cell r="B7">
            <v>4.5161200000000002E-3</v>
          </cell>
        </row>
        <row r="8">
          <cell r="B8">
            <v>8.324628512E-6</v>
          </cell>
        </row>
        <row r="9">
          <cell r="B9">
            <v>8.324628512E-6</v>
          </cell>
        </row>
        <row r="10">
          <cell r="B10">
            <v>1.6649257024E-5</v>
          </cell>
        </row>
        <row r="14">
          <cell r="B14">
            <v>-489.34242</v>
          </cell>
        </row>
        <row r="15">
          <cell r="B15">
            <v>-489.34242</v>
          </cell>
        </row>
        <row r="16">
          <cell r="B16">
            <v>-0.93271500000000007</v>
          </cell>
        </row>
        <row r="17">
          <cell r="B17">
            <v>0.81325999999999998</v>
          </cell>
        </row>
        <row r="18">
          <cell r="B18">
            <v>0.34729000000000004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-978.68484000000001</v>
          </cell>
        </row>
        <row r="22">
          <cell r="B22">
            <v>-339.88745808360005</v>
          </cell>
        </row>
        <row r="23">
          <cell r="B23">
            <v>-58.454398781100053</v>
          </cell>
        </row>
        <row r="24">
          <cell r="B24">
            <v>0</v>
          </cell>
        </row>
        <row r="27">
          <cell r="D27">
            <v>2.0783781725751027E-3</v>
          </cell>
        </row>
        <row r="28">
          <cell r="D28">
            <v>2.6602584460081935E-5</v>
          </cell>
        </row>
        <row r="56">
          <cell r="B56">
            <v>4.2933836140208639E-2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6">
          <cell r="B16">
            <v>978.68484000000001</v>
          </cell>
        </row>
      </sheetData>
      <sheetData sheetId="9" refreshError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3-12-14T18:55:07.18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4842 1376,'0'1054</inkml:trace>
  <inkml:trace contextRef="#ctx0" brushRef="#br0" timeOffset="1">4631 1429,'38'-38,"-30"28,2 0,-1 0,2 1,-1 0,1 1,0 0,1 0,0 2,0-1,18-6,-27 13,0-1,-1 0,1 1,0 0,-1 0,1 0,0 0,0 0,-1 1,1-1,0 1,-1-1,1 1,-1 0,1 0,-1 0,1 1,-1-1,0 1,0-1,1 1,2 3,3 3,0 1,-1 1,1 0,5 11,11 15,19 9,-35-38,0 0,0 1,-1 0,0 1,-1 0,0 0,0 0,6 14,8 12</inkml:trace>
  <inkml:trace contextRef="#ctx0" brushRef="#br0" timeOffset="2">4445 1456,'20'33,"0"0,3-2,0 0,31 31,-43-52,1 1,-1-1,2-1,-1 0,1-1,1 0,-1-1,1 0,0-1,1-1,-1 0,1-1,20 2,-26-5,1-1,-1 0,0 0,1-1,-1-1,0 1,0-1,0-1,0 0,0 0,12-7,5-4,0-2,28-23,-19 13,-17 15,-1-1,-1-1,0-1,-1-1,-1 0,0 0,-1-2,0 1,18-35,-7 5,-14 28,-1 1,-1-1,0-1,-1 1,5-27,-5 4,-1 0,-3 0,-2-76,-3 105,0 0,0 1,-2-1,1 1,-1-1,-1 1,0 0,-1 1,0 0,0-1,-1 2,0-1,-1 1,0 0,-1 1,-18-15,20 17,-1 1,-1-1,1 1,-1 1,0 0,0 0,0 0,0 2,0-1,-1 1,0 0,1 1,-1 0,0 0,0 1,1 1,-1 0,0 0,1 0,-1 2,-12 3,5 2,0 1,0 0,1 2,0 0,-19 18,19-16,-1 0,0-1,0-1,-25 12,-39 8,42-17,-42 21,70-29,0 0,0 1,0 0,1 1,0 1,1-1,-17 20,20-21,1 0,0 0,1 1,-1 0,2-1,-1 2,1-1,0 0,0 1,1-1,1 1,-1 0,0 16</inkml:trace>
  <inkml:trace contextRef="#ctx0" brushRef="#br0" timeOffset="3">4551 874,'-10'15,"0"1,1 1,1-1,-8 22,9-19,-1-1,-1 0,-16 25,20-38,1 1,1 0,-1 0,1 0,0 1,0-1,0 1,1-1,0 1,1 0,-1 0,1 0,0 8,1-14,0 0,1-1,-1 1,0 0,0 0,0 0,1 0,-1 0,0-1,1 1,-1 0,0 0,1-1,-1 1,1 0,-1-1,1 1,0 0,-1-1,1 1,0-1,-1 1,1-1,0 1,0-1,0 0,-1 1,1-1,0 0,0 0,0 1,0-1,-1 0,1 0,0 0,0 0,0 0,0 0,0 0,-1-1,1 1,1 0,47-16,-33 9</inkml:trace>
  <inkml:trace contextRef="#ctx0" brushRef="#br0" timeOffset="4">80 27,'1'23,"1"1,7 26,-5-29,0 0,-2 0,0 27,-1-18,1 0,10 56,-7-58,-1 0,-1 1,-1 36,-2-33,2 0,0 0,3-1,0 1,2-1,15 39</inkml:trace>
  <inkml:trace contextRef="#ctx0" brushRef="#br0" timeOffset="5">106 80,'1'-2,"0"1,0 0,1-1,-1 1,0 0,1 0,-1 0,1 0,-1 0,1 0,-1 0,1 0,0 1,-1-1,1 1,0-1,-1 1,1-1,0 1,0 0,-1 0,1 0,0 0,0 0,1 1,12-2,17-4,0 2,0 1,0 1,0 2,1 1,-1 2,59 15,266 72,214 69,-543-153,0-1,0-1,1-2,0-1,-1-1,1-1,30-4,79 1,-6 2,-97-1,-1 1,1 2,-1 1,68 13,280 99,-376-113,0 0,-1-1,1 1,0-1,0 0,0-1,0 1,0-1,-1 0,1-1,0 0,-1 1,1-2,-1 1,0-1,1 1,-1-1,6-6,47-19,77-17,-67 21,0 3,79-14,-127 31,-1-2,0 0,0-1,30-16,-11 5,-15 8,1 1,0 1,0 2,0 0,1 1,0 1,43 0,-32 2,-1-1,0-2,60-16,-39 6,-23 4,49-7,-66 16,45-8,122-1</inkml:trace>
  <inkml:trace contextRef="#ctx0" brushRef="#br0" timeOffset="6">4313 0,'6'13,"19"56,-15-13,-2-1,0 102,-4-55,8-6,-6-64,1 50,4 13,-7-68,-1-1,0 35</inkml:trace>
  <inkml:trace contextRef="#ctx0" brushRef="#br0" timeOffset="7">4313 768,'4'9,"7"12,1 11,2 10,5 1,2-6,3-18,-3-17,0-23,0-11,-3-6,0 0,-3 1,-5 3,-3 7</inkml:trace>
  <inkml:trace contextRef="#ctx0" brushRef="#br0" timeOffset="8">3731 265,'0'4,"-5"16,-1 8,-4 9,-5 7,-4 27,0 15,5 3,-1-6,3-8,2-11,5-13,1-15</inkml:trace>
  <inkml:trace contextRef="#ctx0" brushRef="#br0" timeOffset="9">3572 821,'3'1,"0"1,-1 0,1 0,-1 0,0 0,1 1,-1-1,0 1,0-1,0 1,-1 0,1 0,-1-1,0 1,1 0,-1 1,1 4,16 31,-10-29,1 0,0-1,1 1,-1-2,2 1,-1-1,14 7,-20-13,0 0,0 0,0 0,0-1,0 1,1-1,-1 0,1 0,-1-1,1 1,-1-1,1 0,-1 0,1 0,-1-1,1 0,-1 0,0 0,1 0,-1-1,0 1,0-1,7-4,6-6,-1 0,0-1,0-1,22-26</inkml:trace>
  <inkml:trace contextRef="#ctx0" brushRef="#br0" timeOffset="10">2805 397,'4'5,"2"5,5 6,-1 5,-1 8,-2 12,2 8,-1 5,3-2,0-1,-2-5,-3-5,-2-6,-2-4,-1-3,-1-6</inkml:trace>
  <inkml:trace contextRef="#ctx0" brushRef="#br0" timeOffset="11">2778 768,'3'7,"-1"1,2-1,-1 1,1-1,0 0,0 0,0 0,1-1,0 0,7 7,25 34,-30-33,19 27,-25-40,0 0,1 0,-1 0,0 0,0-1,0 1,1 0,-1-1,0 1,1 0,-1-1,0 0,1 1,-1-1,1 0,-1 0,1 1,-1-1,0 0,1 0,-1-1,1 1,-1 0,1 0,-1-1,0 1,1-1,-1 1,3-2,4-4,1-1,-1 1,0-2,0 1,-1-1,0 0,0 0,-1-1,0 0,-1 0,0-1,7-18,24-37</inkml:trace>
  <inkml:trace contextRef="#ctx0" brushRef="#br0" timeOffset="12">1641 291,'0'5,"0"5,0 7,0 3,0 4,0 3,0 4,0 3,0-1,0 4,0-1,0-1,0-3,0-2,0-1,0-6</inkml:trace>
  <inkml:trace contextRef="#ctx0" brushRef="#br0" timeOffset="13">1482 715,'7'2,"0"1,-1 0,1 0,-1 0,1 1,-1 0,-1 1,1-1,0 1,-1 0,0 0,0 1,4 6,12 11,-10-10,-1-1,-1 2,10 16,26 34,-42-60,1 0,0 0,0-1,1 1,-1-1,1 0,-1-1,1 1,0-1,0 0,0 0,7 2,-8-4,-1 1,1-1,0 0,-1 0,1 0,0 0,0-1,-1 1,1-1,-1 0,1 0,-1 0,1-1,-1 1,1-1,-1 0,0 0,0 0,0 0,0-1,0 1,-1-1,1 1,2-5,3-3,-2 0,1 0,-1-1,-1 0,1 0,4-17,16-23</inkml:trace>
  <inkml:trace contextRef="#ctx0" brushRef="#br0" timeOffset="14">926 186,'0'9,"0"7,-4 10,-2 10,0 8,2 9,0 6,2 0,-3 1,-2-2,2-6,-4-3,0-5,1-6,3-9</inkml:trace>
  <inkml:trace contextRef="#ctx0" brushRef="#br0" timeOffset="15">715 635,'0'9,"0"-1,1 0,0 0,1 1,0-1,0 0,1-1,0 1,5 10,42 62,-46-75,1 1,0-1,0 1,0-1,0 0,1-1,0 1,0-1,0 0,0-1,1 1,0-1,-1-1,1 1,0-1,0 0,0-1,1 0,-1 0,13 0,-10-1,0-1,0 0,0 0,0-1,0 0,-1-1,1 0,-1 0,0-1,0-1,0 1,0-1,-1-1,12-9,88-71</inkml:trace>
  <inkml:trace contextRef="#ctx0" brushRef="#br0" timeOffset="16">0 635,'1'9,"0"-1,1 1,0-1,0 0,1 0,0 0,0 0,1 0,0-1,0 1,10 12,0-4,1 1,0-2,25 21,-37-35,-1 1,1 0,0 0,-1-1,1 1,0-1,0 0,0 0,0 0,0 0,0-1,0 1,0-1,1 0,-1 0,0 0,0 0,0 0,0-1,0 1,0-1,0 0,0 0,0 0,0 0,0-1,4-2,5-4,0-1,0 0,0-1,14-16,-22 21,25-24,-15 13,1 0,1 2,1-1,20-13</inkml:trace>
  <inkml:trace contextRef="#ctx0" brushRef="#br0" timeOffset="17">5451 159,'2'611,"-1"-597,1 1,1-1,0 0,1 0,10 24,-9-26,-1 0,0 1,0-1,-2 0,1 1,-1 0,-1-1,0 17,-2-8</inkml:trace>
  <inkml:trace contextRef="#ctx0" brushRef="#br0" timeOffset="18">5557 133,'27'-16,"2"2,0 1,0 2,1 0,0 2,50-7,-12 7,136 0,-176 11,1 2,-1 0,0 2,-1 2,1 0,-1 1,34 18,-30-15,1-2,1-1,0-2,65 6,-74-10,121 8,204-10,-134-5,-167 2,1-3,91-21,0 0,-82 18,0 3,59 2,58-4,-47-16,-95 15,0 2,0 1,66-1,70 7,-83-2,143 18,-153-9,135-3,-51-3,-133 0,0 3,-1 0,49 17,7 1,-31-15,1-1,-1-3,98-5,26 1,-127 1</inkml:trace>
  <inkml:trace contextRef="#ctx0" brushRef="#br0" timeOffset="19">10134 212,'-5'11,"0"-1,1 1,0 0,1 0,1 1,0-1,0 1,1-1,0 1,1-1,2 20,-2 27,0 18,2-61,-1-1,-1 0,0 1,-1-1,0 0,-1 0,-1 0,0 0,-1 0,-12 26,9-28,-1 1,2-1,0 2,0-1,1 1,1-1,0 1,1 0,1 1,0-1,1 0,0 16,2-5,-1-19,0 0,0 0,1 0,-1 0,1 0,1 0,-1 0,1 0,3 6</inkml:trace>
  <inkml:trace contextRef="#ctx0" brushRef="#br0" timeOffset="20">9922 741,'0'5,"5"1,1 4,4 5,5 0,0 2,2-2,-2 1,1 2,2-2,3-8,-3-10,1-4,-4-7,-3-4,0 0,-2 2</inkml:trace>
  <inkml:trace contextRef="#ctx0" brushRef="#br0" timeOffset="21">9472 133,'-2'1,"0"1,1-1,-1 1,0 0,1-1,-1 1,1 0,-1 0,1 0,0 1,0-1,0 0,0 0,0 1,0-1,1 0,-1 1,1-1,-1 0,1 1,0-1,0 1,1 2,-8 29,-6-1,2 2,2-1,1 1,1 1,-3 59,6-46,-3 0,-15 61,18-94,1 0,0-1,2 1,-1 19</inkml:trace>
  <inkml:trace contextRef="#ctx0" brushRef="#br0" timeOffset="22">9208 821,'0'9,"4"7,11 15,7 2,5-5,2-7,0-11,0-13,-5-9,-2-4,-4-2,-6 0</inkml:trace>
  <inkml:trace contextRef="#ctx0" brushRef="#br0" timeOffset="23">8573 133,'-2'34,"-9"46,5-47,-2 53,11 347,8-368,-4-32</inkml:trace>
  <inkml:trace contextRef="#ctx0" brushRef="#br0" timeOffset="24">8414 794,'24'57,"-21"-47,1 0,0 0,0-1,1 1,0-1,0 0,8 8,-11-15,0 0,1 0,-1-1,1 1,-1-1,1 1,0-1,-1 0,1 0,0 0,0 0,0-1,0 1,0-1,0 0,0 0,0 0,0 0,-1 0,1-1,0 1,0-1,0 0,0 1,0-2,-1 1,1 0,0 0,-1-1,1 1,-1-1,0 0,1 0,-1 0,0 0,0 0,0-1,0 1,2-5,92-112</inkml:trace>
  <inkml:trace contextRef="#ctx0" brushRef="#br0" timeOffset="25">7700 106,'4'531,"-2"-508,0-1,2 1,0 0,2-1,0 0,14 30</inkml:trace>
  <inkml:trace contextRef="#ctx0" brushRef="#br0" timeOffset="26">7647 688,'0'19,"3"27,-3-44,1 0,-1 0,1-1,0 1,0 0,0 0,0-1,0 1,0 0,0-1,0 1,1-1,-1 0,1 1,-1-1,1 0,-1 0,1 0,0 0,3 1,2 1,-1-1,1-1,0 1,-1-1,1-1,0 1,0-1,0 0,-1-1,1 1,0-1,0-1,-1 1,1-1,-1 0,1-1,-1 0,0 0,0 0,0 0,-1-1,1 0,8-8,-5 4,-1-1,0 0,0-1,0 1,-1-1,-1-1,0 1,0-1,-1 0,-1 0,0-1,5-20</inkml:trace>
  <inkml:trace contextRef="#ctx0" brushRef="#br0" timeOffset="27">6694 186,'0'632</inkml:trace>
  <inkml:trace contextRef="#ctx0" brushRef="#br0" timeOffset="28">6615 926,'6'14,"1"-2,1 1,0-1,1 0,0-1,20 20,-28-30,0 0,0-1,0 1,0 0,0 0,0-1,0 1,0 0,0-1,0 1,0-1,0 1,0-1,1 0,-1 1,0-1,0 0,0 0,1 0,-1 0,0 0,0 0,0 0,1 0,-1-1,0 1,0 0,0-1,0 1,1-1,-1 1,0-1,0 0,0 1,0-1,0 0,-1 0,2-1,4-4,0-1,-1-1,0 1,7-14,2-3,16-18,24-50</inkml:trace>
  <inkml:trace contextRef="#ctx0" brushRef="#br0" timeOffset="29">6165 0,'7'9,"-1"-1,0 1,-1 0,0 0,0 1,-1-1,-1 1,1 0,-1 0,-1 0,0 1,1 10,27 166,-18-125,9 112,-13-72,-4-61,-1 75</inkml:trace>
  <inkml:trace contextRef="#ctx0" brushRef="#br0" timeOffset="30">6139 715,'0'12,"1"0,1 0,0 0,1-1,5 16,-7-24,0 0,0 0,1 0,-1-1,1 1,-1 0,1-1,0 1,0-1,0 0,1 0,-1 0,1 0,-1 0,1 0,-1-1,1 1,0-1,0 0,0 0,0 0,0 0,0 0,0-1,3 1,0-1,-1 0,1 0,-1-1,1 0,-1 0,0 0,1-1,-1 0,0 0,0 0,0 0,0-1,-1 0,1 0,6-6,5-5,0-2,23-28,-17 17,2-2,-11 13,0 1,28-25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3-12-14T18:55:07.214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1,'15'31,"6"16,2-1,2-2,33 46,-57-89,0 0,0 1,0-1,0 0,0 0,0 0,1 0,-1 0,0 0,0 0,1-1,-1 1,1 0,-1-1,0 1,1-1,-1 1,1-1,-1 0,1 1,0-1,-1 0,1 0,-1 0,1-1,-1 1,1 0,-1 0,1-1,-1 1,1-1,-1 1,1-1,-1 0,0 0,1 1,-1-1,2-2,4-3,-1 0,0 0,0 0,0-1,6-11,-7 12,4-8,0 1,1 1,1-1,0 1,13-10</inkml:trace>
</inkml: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06501-3239-4D49-83BE-E1F703FD586E}">
  <sheetPr codeName="Sheet4"/>
  <dimension ref="A1:X44"/>
  <sheetViews>
    <sheetView workbookViewId="0">
      <selection activeCell="E17" sqref="E17"/>
    </sheetView>
  </sheetViews>
  <sheetFormatPr defaultRowHeight="12.6" x14ac:dyDescent="0.2"/>
  <cols>
    <col min="1" max="1" width="15.90625" customWidth="1"/>
    <col min="2" max="2" width="8" bestFit="1" customWidth="1"/>
    <col min="4" max="4" width="2.6328125" customWidth="1"/>
    <col min="5" max="5" width="19.7265625" customWidth="1"/>
    <col min="6" max="6" width="5.90625" customWidth="1"/>
    <col min="8" max="8" width="2.26953125" customWidth="1"/>
    <col min="9" max="9" width="19.7265625" customWidth="1"/>
    <col min="10" max="10" width="6.36328125" customWidth="1"/>
    <col min="11" max="11" width="10.90625" customWidth="1"/>
    <col min="17" max="17" width="10.453125" bestFit="1" customWidth="1"/>
    <col min="18" max="18" width="11.90625" bestFit="1" customWidth="1"/>
    <col min="22" max="22" width="11.90625" bestFit="1" customWidth="1"/>
  </cols>
  <sheetData>
    <row r="1" spans="1:24" x14ac:dyDescent="0.2">
      <c r="A1" t="s">
        <v>0</v>
      </c>
    </row>
    <row r="2" spans="1:24" x14ac:dyDescent="0.2">
      <c r="A2" t="s">
        <v>1</v>
      </c>
      <c r="K2" s="1"/>
    </row>
    <row r="3" spans="1:24" x14ac:dyDescent="0.2">
      <c r="A3" s="1" t="s">
        <v>2</v>
      </c>
      <c r="B3">
        <v>310</v>
      </c>
      <c r="C3" t="s">
        <v>3</v>
      </c>
    </row>
    <row r="4" spans="1:24" x14ac:dyDescent="0.2">
      <c r="A4" s="1" t="s">
        <v>4</v>
      </c>
      <c r="B4">
        <v>400</v>
      </c>
      <c r="C4" t="s">
        <v>3</v>
      </c>
      <c r="H4" s="2"/>
      <c r="L4" s="1"/>
    </row>
    <row r="5" spans="1:24" x14ac:dyDescent="0.2">
      <c r="A5" s="1" t="s">
        <v>5</v>
      </c>
      <c r="B5">
        <v>427</v>
      </c>
      <c r="C5" t="s">
        <v>3</v>
      </c>
      <c r="L5" s="1"/>
      <c r="U5">
        <f>R2</f>
        <v>0</v>
      </c>
      <c r="X5">
        <f>R2</f>
        <v>0</v>
      </c>
    </row>
    <row r="6" spans="1:24" x14ac:dyDescent="0.2">
      <c r="A6" s="1" t="s">
        <v>6</v>
      </c>
      <c r="B6">
        <v>400</v>
      </c>
      <c r="C6" t="s">
        <v>3</v>
      </c>
      <c r="L6" s="1"/>
    </row>
    <row r="7" spans="1:24" x14ac:dyDescent="0.2">
      <c r="A7" s="1" t="s">
        <v>7</v>
      </c>
      <c r="L7" s="1"/>
    </row>
    <row r="8" spans="1:24" x14ac:dyDescent="0.2">
      <c r="A8" s="1" t="s">
        <v>2</v>
      </c>
      <c r="B8">
        <v>228</v>
      </c>
      <c r="C8" t="s">
        <v>3</v>
      </c>
    </row>
    <row r="9" spans="1:24" x14ac:dyDescent="0.2">
      <c r="A9" s="1" t="s">
        <v>4</v>
      </c>
      <c r="B9">
        <v>290</v>
      </c>
      <c r="C9" t="s">
        <v>3</v>
      </c>
      <c r="H9" s="2"/>
      <c r="L9" s="1"/>
    </row>
    <row r="10" spans="1:24" x14ac:dyDescent="0.2">
      <c r="A10" s="1" t="s">
        <v>5</v>
      </c>
      <c r="B10">
        <v>317</v>
      </c>
      <c r="C10" t="s">
        <v>3</v>
      </c>
      <c r="L10" s="1"/>
      <c r="U10">
        <f>R6</f>
        <v>0</v>
      </c>
      <c r="X10">
        <f>R6</f>
        <v>0</v>
      </c>
    </row>
    <row r="11" spans="1:24" x14ac:dyDescent="0.2">
      <c r="A11" s="1" t="s">
        <v>6</v>
      </c>
      <c r="B11">
        <v>250</v>
      </c>
      <c r="C11" t="s">
        <v>3</v>
      </c>
      <c r="L11" s="1"/>
    </row>
    <row r="12" spans="1:24" x14ac:dyDescent="0.2">
      <c r="A12" s="1"/>
      <c r="L12" s="1"/>
    </row>
    <row r="13" spans="1:24" x14ac:dyDescent="0.2">
      <c r="A13" t="s">
        <v>8</v>
      </c>
      <c r="B13">
        <v>7850</v>
      </c>
      <c r="C13" t="s">
        <v>9</v>
      </c>
      <c r="L13" s="1"/>
    </row>
    <row r="14" spans="1:24" x14ac:dyDescent="0.2">
      <c r="A14" t="s">
        <v>10</v>
      </c>
      <c r="B14">
        <v>190000000000</v>
      </c>
      <c r="C14" t="s">
        <v>16</v>
      </c>
    </row>
    <row r="15" spans="1:24" x14ac:dyDescent="0.2">
      <c r="H15" s="3"/>
      <c r="L15" s="1"/>
    </row>
    <row r="16" spans="1:24" x14ac:dyDescent="0.2">
      <c r="L16" s="1"/>
      <c r="U16" s="1" t="s">
        <v>12</v>
      </c>
      <c r="V16">
        <f>U5*N22-X5*M15*2*N22</f>
        <v>0</v>
      </c>
    </row>
    <row r="17" spans="1:23" x14ac:dyDescent="0.2">
      <c r="L17" s="1"/>
    </row>
    <row r="18" spans="1:23" x14ac:dyDescent="0.2">
      <c r="A18" s="4" t="s">
        <v>13</v>
      </c>
      <c r="B18" s="1"/>
      <c r="C18" s="1"/>
    </row>
    <row r="19" spans="1:23" x14ac:dyDescent="0.2">
      <c r="A19" s="1">
        <v>8.3000000000000004E-2</v>
      </c>
      <c r="B19" s="1">
        <f>CONVERT(A19,"in","mm")</f>
        <v>2.1082000000000001</v>
      </c>
      <c r="C19" s="5">
        <v>3.125E-2</v>
      </c>
      <c r="W19">
        <f>437.8595*2</f>
        <v>875.71900000000005</v>
      </c>
    </row>
    <row r="20" spans="1:23" x14ac:dyDescent="0.2">
      <c r="A20" s="1">
        <v>9.5000000000000001E-2</v>
      </c>
      <c r="B20" s="1">
        <f t="shared" ref="B20:B25" si="0">CONVERT(A20,"in","mm")</f>
        <v>2.4130000000000003</v>
      </c>
      <c r="C20" s="5">
        <v>6.25E-2</v>
      </c>
      <c r="L20" s="1"/>
    </row>
    <row r="21" spans="1:23" x14ac:dyDescent="0.2">
      <c r="A21" s="1">
        <v>0.125</v>
      </c>
      <c r="B21" s="1">
        <f t="shared" si="0"/>
        <v>3.1749999999999998</v>
      </c>
      <c r="C21" s="5">
        <f t="shared" ref="C21:C25" si="1">A21</f>
        <v>0.125</v>
      </c>
    </row>
    <row r="22" spans="1:23" x14ac:dyDescent="0.2">
      <c r="A22" s="1">
        <v>0.1875</v>
      </c>
      <c r="B22" s="1">
        <f t="shared" si="0"/>
        <v>4.7625000000000002</v>
      </c>
      <c r="C22" s="5">
        <f t="shared" si="1"/>
        <v>0.1875</v>
      </c>
    </row>
    <row r="23" spans="1:23" x14ac:dyDescent="0.2">
      <c r="A23" s="1">
        <v>0.25</v>
      </c>
      <c r="B23" s="1">
        <f t="shared" si="0"/>
        <v>6.35</v>
      </c>
      <c r="C23" s="5">
        <f t="shared" si="1"/>
        <v>0.25</v>
      </c>
      <c r="L23" s="1"/>
    </row>
    <row r="24" spans="1:23" x14ac:dyDescent="0.2">
      <c r="A24" s="1">
        <v>0.3125</v>
      </c>
      <c r="B24" s="1">
        <f t="shared" si="0"/>
        <v>7.9375</v>
      </c>
      <c r="C24" s="5">
        <f t="shared" si="1"/>
        <v>0.3125</v>
      </c>
    </row>
    <row r="25" spans="1:23" x14ac:dyDescent="0.2">
      <c r="A25" s="1">
        <v>0.375</v>
      </c>
      <c r="B25" s="1">
        <f t="shared" si="0"/>
        <v>9.5250000000000004</v>
      </c>
      <c r="C25" s="5">
        <f t="shared" si="1"/>
        <v>0.375</v>
      </c>
      <c r="L25" s="1"/>
    </row>
    <row r="26" spans="1:23" x14ac:dyDescent="0.2">
      <c r="A26" s="1" t="s">
        <v>14</v>
      </c>
      <c r="B26" s="1" t="s">
        <v>15</v>
      </c>
      <c r="C26" s="1" t="s">
        <v>14</v>
      </c>
    </row>
    <row r="37" spans="1:10" x14ac:dyDescent="0.2">
      <c r="A37" s="1"/>
      <c r="E37" s="1"/>
      <c r="I37" s="1"/>
    </row>
    <row r="38" spans="1:10" x14ac:dyDescent="0.2">
      <c r="A38" s="1"/>
      <c r="E38" s="1"/>
      <c r="I38" s="1"/>
    </row>
    <row r="39" spans="1:10" x14ac:dyDescent="0.2">
      <c r="A39" s="1"/>
      <c r="E39" s="1"/>
      <c r="I39" s="1"/>
    </row>
    <row r="40" spans="1:10" x14ac:dyDescent="0.2">
      <c r="A40" s="1"/>
      <c r="B40" s="6"/>
      <c r="E40" s="1"/>
      <c r="F40" s="6"/>
      <c r="I40" s="1"/>
      <c r="J40" s="6"/>
    </row>
    <row r="41" spans="1:10" x14ac:dyDescent="0.2">
      <c r="A41" s="1"/>
      <c r="B41" s="2"/>
      <c r="E41" s="1"/>
      <c r="F41" s="2"/>
      <c r="I41" s="1"/>
      <c r="J41" s="2"/>
    </row>
    <row r="42" spans="1:10" x14ac:dyDescent="0.2">
      <c r="A42" s="1"/>
      <c r="B42" s="2"/>
      <c r="E42" s="1"/>
      <c r="F42" s="2"/>
      <c r="I42" s="1"/>
      <c r="J42" s="2"/>
    </row>
    <row r="43" spans="1:10" x14ac:dyDescent="0.2">
      <c r="A43" s="1"/>
      <c r="B43" s="2"/>
      <c r="E43" s="1"/>
      <c r="F43" s="2"/>
      <c r="I43" s="1"/>
      <c r="J43" s="2"/>
    </row>
    <row r="44" spans="1:10" x14ac:dyDescent="0.2">
      <c r="A44" s="1"/>
      <c r="E44" s="1"/>
      <c r="I44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4486A-73E1-4591-8978-3D090A92439A}">
  <sheetPr codeName="Sheet7"/>
  <dimension ref="A1:AD62"/>
  <sheetViews>
    <sheetView workbookViewId="0">
      <selection activeCell="N12" sqref="N12"/>
    </sheetView>
  </sheetViews>
  <sheetFormatPr defaultRowHeight="12.6" x14ac:dyDescent="0.2"/>
  <cols>
    <col min="1" max="1" width="12.36328125" style="13" customWidth="1"/>
    <col min="2" max="2" width="12.36328125" bestFit="1" customWidth="1"/>
    <col min="3" max="3" width="9.6328125" customWidth="1"/>
    <col min="4" max="4" width="9" customWidth="1"/>
    <col min="5" max="5" width="6.90625" style="14" customWidth="1"/>
    <col min="6" max="6" width="1.26953125" customWidth="1"/>
    <col min="7" max="7" width="9" style="19"/>
    <col min="8" max="10" width="9"/>
    <col min="11" max="11" width="9" style="14"/>
    <col min="12" max="12" width="1.08984375" customWidth="1"/>
    <col min="13" max="13" width="9" style="19"/>
    <col min="14" max="14" width="11.36328125" bestFit="1" customWidth="1"/>
    <col min="15" max="18" width="9"/>
    <col min="19" max="19" width="9.6328125" style="14" customWidth="1"/>
    <col min="20" max="20" width="1.453125" style="24" customWidth="1"/>
  </cols>
  <sheetData>
    <row r="1" spans="1:30" x14ac:dyDescent="0.2">
      <c r="A1" s="10" t="s">
        <v>17</v>
      </c>
      <c r="B1" s="11"/>
      <c r="C1" s="11"/>
      <c r="D1" s="11" t="s">
        <v>80</v>
      </c>
      <c r="E1" s="12"/>
      <c r="G1" s="10" t="s">
        <v>30</v>
      </c>
      <c r="H1" s="11"/>
      <c r="I1" s="11"/>
      <c r="J1" s="11"/>
      <c r="K1" s="12"/>
      <c r="M1" s="10" t="s">
        <v>45</v>
      </c>
      <c r="N1" s="11"/>
      <c r="O1" s="11"/>
      <c r="P1" s="11"/>
      <c r="Q1" s="11"/>
      <c r="R1" s="11"/>
      <c r="S1" s="12"/>
      <c r="T1" s="23"/>
      <c r="U1" s="7" t="s">
        <v>57</v>
      </c>
      <c r="Z1" s="7" t="s">
        <v>66</v>
      </c>
    </row>
    <row r="2" spans="1:30" ht="16.2" x14ac:dyDescent="0.3">
      <c r="A2" s="13" t="s">
        <v>18</v>
      </c>
      <c r="B2">
        <f>D2*CONVERT(1,E2,C2)</f>
        <v>0.1016</v>
      </c>
      <c r="C2" t="s">
        <v>19</v>
      </c>
      <c r="D2">
        <v>4</v>
      </c>
      <c r="E2" s="14" t="s">
        <v>14</v>
      </c>
      <c r="G2" s="13" t="s">
        <v>31</v>
      </c>
      <c r="H2" s="2">
        <f>-J2*9.81</f>
        <v>-489.34242</v>
      </c>
      <c r="I2" t="s">
        <v>32</v>
      </c>
      <c r="J2">
        <v>49.881999999999998</v>
      </c>
      <c r="K2" s="14" t="s">
        <v>33</v>
      </c>
      <c r="M2" s="17" t="s">
        <v>46</v>
      </c>
      <c r="O2" t="s">
        <v>47</v>
      </c>
      <c r="P2">
        <f>(A/2)*((h/2)*(A/2)-((h/2-th)/2)*((h-2*th)/2)*(b-2*th))/(A/2-((h-2*th)/2)*(b-2*th))</f>
        <v>2.0783781725751027E-3</v>
      </c>
      <c r="U2" s="4" t="s">
        <v>58</v>
      </c>
      <c r="V2" s="1" t="s">
        <v>59</v>
      </c>
      <c r="W2" s="1" t="s">
        <v>60</v>
      </c>
      <c r="X2" t="s">
        <v>61</v>
      </c>
      <c r="Z2" s="4" t="s">
        <v>67</v>
      </c>
    </row>
    <row r="3" spans="1:30" x14ac:dyDescent="0.2">
      <c r="A3" s="13" t="s">
        <v>20</v>
      </c>
      <c r="B3">
        <f t="shared" ref="B3:B5" si="0">D3*CONVERT(1,E3,C3)</f>
        <v>0.1016</v>
      </c>
      <c r="C3" t="s">
        <v>19</v>
      </c>
      <c r="D3">
        <v>4</v>
      </c>
      <c r="E3" s="14" t="s">
        <v>14</v>
      </c>
      <c r="G3" s="13" t="s">
        <v>34</v>
      </c>
      <c r="H3" s="2">
        <f>-J3*9.81</f>
        <v>-489.34242</v>
      </c>
      <c r="I3" t="s">
        <v>32</v>
      </c>
      <c r="J3">
        <v>49.881999999999998</v>
      </c>
      <c r="K3" s="14" t="s">
        <v>33</v>
      </c>
      <c r="M3" s="17" t="s">
        <v>48</v>
      </c>
      <c r="O3" t="s">
        <v>49</v>
      </c>
      <c r="P3">
        <f>(A/2)*((b/2)*(A/2)-((b/2-th)/2)*((b-2*th)/2)*(h-2*th))/(A/2-((b-2*th)/2)*(h-2*th))</f>
        <v>2.6602584460081935E-5</v>
      </c>
      <c r="U3" s="1">
        <v>1</v>
      </c>
      <c r="V3">
        <f t="shared" ref="V3:W6" si="1">N6</f>
        <v>-2290829.7457287041</v>
      </c>
      <c r="W3">
        <f t="shared" si="1"/>
        <v>0</v>
      </c>
      <c r="X3">
        <f>SQRT((((N6-O6)/2)^2)+Q6^2)</f>
        <v>1145414.8728643521</v>
      </c>
      <c r="Z3" s="1" t="s">
        <v>68</v>
      </c>
      <c r="AA3">
        <f>E</f>
        <v>190</v>
      </c>
      <c r="AB3" t="s">
        <v>11</v>
      </c>
    </row>
    <row r="4" spans="1:30" x14ac:dyDescent="0.2">
      <c r="A4" s="13" t="s">
        <v>21</v>
      </c>
      <c r="B4">
        <f t="shared" si="0"/>
        <v>3.8260000000000001</v>
      </c>
      <c r="C4" t="s">
        <v>19</v>
      </c>
      <c r="D4">
        <v>3826</v>
      </c>
      <c r="E4" s="14" t="s">
        <v>15</v>
      </c>
      <c r="M4" s="17" t="s">
        <v>50</v>
      </c>
      <c r="U4" s="1">
        <v>2</v>
      </c>
      <c r="V4">
        <f t="shared" si="1"/>
        <v>-573419.84666136687</v>
      </c>
      <c r="W4">
        <f t="shared" si="1"/>
        <v>0</v>
      </c>
      <c r="X4">
        <f>SQRT((((N7-O7)/2)^2)+Q7^2)</f>
        <v>286709.92333068344</v>
      </c>
      <c r="Z4" s="1" t="s">
        <v>69</v>
      </c>
      <c r="AA4">
        <f>Ix</f>
        <v>8.324628512E-6</v>
      </c>
      <c r="AB4" t="s">
        <v>70</v>
      </c>
    </row>
    <row r="5" spans="1:30" x14ac:dyDescent="0.2">
      <c r="A5" s="13" t="s">
        <v>22</v>
      </c>
      <c r="B5">
        <f t="shared" si="0"/>
        <v>6.3499999999999997E-3</v>
      </c>
      <c r="C5" t="s">
        <v>19</v>
      </c>
      <c r="D5" s="6">
        <v>0.25</v>
      </c>
      <c r="E5" s="14" t="s">
        <v>14</v>
      </c>
      <c r="G5" s="13" t="s">
        <v>35</v>
      </c>
      <c r="H5" s="2">
        <f>-CONVERT(J5,"mm","m")</f>
        <v>-0.93271500000000007</v>
      </c>
      <c r="I5" t="s">
        <v>19</v>
      </c>
      <c r="J5">
        <f>3491.95/2-813.26</f>
        <v>932.71499999999992</v>
      </c>
      <c r="K5" s="14" t="s">
        <v>15</v>
      </c>
      <c r="M5" s="13"/>
      <c r="N5" t="s">
        <v>51</v>
      </c>
      <c r="O5" t="s">
        <v>52</v>
      </c>
      <c r="P5" s="20" t="s">
        <v>53</v>
      </c>
      <c r="Q5" t="s">
        <v>54</v>
      </c>
      <c r="R5" s="20" t="s">
        <v>55</v>
      </c>
      <c r="S5" s="21" t="s">
        <v>56</v>
      </c>
      <c r="U5" s="1">
        <v>3</v>
      </c>
      <c r="V5">
        <f t="shared" si="1"/>
        <v>1857411.3068918267</v>
      </c>
      <c r="W5">
        <f t="shared" si="1"/>
        <v>0</v>
      </c>
      <c r="X5">
        <f>SQRT((((N8-O8)/2)^2)+Q8^2)</f>
        <v>928705.65344591334</v>
      </c>
      <c r="Z5" s="1" t="s">
        <v>71</v>
      </c>
      <c r="AA5">
        <f>h</f>
        <v>3.8260000000000001</v>
      </c>
      <c r="AB5" t="s">
        <v>70</v>
      </c>
    </row>
    <row r="6" spans="1:30" x14ac:dyDescent="0.2">
      <c r="G6" s="13" t="s">
        <v>36</v>
      </c>
      <c r="H6" s="2">
        <f t="shared" ref="H6:H7" si="2">CONVERT(J6,"mm","m")</f>
        <v>0.81325999999999998</v>
      </c>
      <c r="I6" t="s">
        <v>19</v>
      </c>
      <c r="J6">
        <f>813.26</f>
        <v>813.26</v>
      </c>
      <c r="K6" s="14" t="s">
        <v>15</v>
      </c>
      <c r="M6" s="13">
        <v>1</v>
      </c>
      <c r="N6" s="2">
        <f>(Ny)/A+(Mz)*(b/2)/Iz</f>
        <v>-2290829.7457287041</v>
      </c>
      <c r="O6">
        <v>0</v>
      </c>
      <c r="P6" s="20"/>
      <c r="Q6">
        <f>(Ty)*(b/2)/Jy+Vx*Qx/(Ix*2*th)</f>
        <v>0</v>
      </c>
      <c r="R6" s="20"/>
      <c r="S6" s="21"/>
      <c r="U6" s="1">
        <v>4</v>
      </c>
      <c r="V6">
        <f t="shared" si="1"/>
        <v>140001.4078244892</v>
      </c>
      <c r="W6">
        <f t="shared" si="1"/>
        <v>0</v>
      </c>
      <c r="X6">
        <f>SQRT((((N9-O9)/2)^2)+Q9^2)</f>
        <v>70000.7039122446</v>
      </c>
      <c r="Z6" s="1" t="s">
        <v>72</v>
      </c>
      <c r="AA6">
        <f>SQRT(Ix/A)</f>
        <v>4.2933836140208639E-2</v>
      </c>
      <c r="AB6" t="s">
        <v>19</v>
      </c>
    </row>
    <row r="7" spans="1:30" x14ac:dyDescent="0.2">
      <c r="A7" s="13" t="s">
        <v>23</v>
      </c>
      <c r="B7">
        <f>D7*CONVERT(1,E7,C7)</f>
        <v>1.2499975E-3</v>
      </c>
      <c r="C7" t="s">
        <v>81</v>
      </c>
      <c r="D7" s="15">
        <f>D2*D3-(D2-D5)*(D3-D5)</f>
        <v>1.9375</v>
      </c>
      <c r="E7" s="14" t="s">
        <v>24</v>
      </c>
      <c r="G7" s="13" t="s">
        <v>37</v>
      </c>
      <c r="H7" s="2">
        <f t="shared" si="2"/>
        <v>0.34729000000000004</v>
      </c>
      <c r="I7" t="s">
        <v>19</v>
      </c>
      <c r="J7">
        <f>397.29-50</f>
        <v>347.29</v>
      </c>
      <c r="K7" s="14" t="s">
        <v>15</v>
      </c>
      <c r="M7" s="13">
        <v>2</v>
      </c>
      <c r="N7" s="2">
        <f>(Ny)/A+(Mx)*(b/2)/Ix</f>
        <v>-573419.84666136687</v>
      </c>
      <c r="O7">
        <v>0</v>
      </c>
      <c r="P7" s="20"/>
      <c r="Q7">
        <f>(Ty)*(b/2)/Jy+Vz*Qy/(Iz*2*th)</f>
        <v>0</v>
      </c>
      <c r="R7" s="20"/>
      <c r="S7" s="21"/>
      <c r="Z7" s="1"/>
    </row>
    <row r="8" spans="1:30" x14ac:dyDescent="0.2">
      <c r="M8" s="13">
        <v>3</v>
      </c>
      <c r="N8" s="2">
        <f>(Ny)/A-(Mz)*(b/2)/Iz</f>
        <v>1857411.3068918267</v>
      </c>
      <c r="O8">
        <v>0</v>
      </c>
      <c r="P8" s="20"/>
      <c r="Q8">
        <f>(Ty)*(b/2)/Jy-Vx*Qx/(Ix*2*th)</f>
        <v>0</v>
      </c>
      <c r="R8" s="20"/>
      <c r="S8" s="21"/>
      <c r="U8" s="4" t="s">
        <v>62</v>
      </c>
      <c r="Z8" s="4" t="s">
        <v>73</v>
      </c>
    </row>
    <row r="9" spans="1:30" x14ac:dyDescent="0.2">
      <c r="A9" s="13" t="s">
        <v>25</v>
      </c>
      <c r="B9" cm="1">
        <f t="array" ref="B9">MomentOfInertia(B2,B3,B5)*2</f>
        <v>7.3490861082500014E-6</v>
      </c>
      <c r="C9" t="s">
        <v>70</v>
      </c>
      <c r="D9" cm="1">
        <f t="array" ref="D9">MomentOfInertia(D3,D2,D5)*2</f>
        <v>17.656249999999996</v>
      </c>
      <c r="E9" s="14" t="s">
        <v>26</v>
      </c>
      <c r="G9" s="13" t="s">
        <v>38</v>
      </c>
      <c r="H9" s="2">
        <v>0</v>
      </c>
      <c r="I9" t="s">
        <v>32</v>
      </c>
      <c r="M9" s="13">
        <v>4</v>
      </c>
      <c r="N9" s="2">
        <f>(Ny)/A-(Mx)*(b/2)/Ix</f>
        <v>140001.4078244892</v>
      </c>
      <c r="O9">
        <v>0</v>
      </c>
      <c r="P9" s="20"/>
      <c r="Q9">
        <f>(Ty)*(b/2)/Jy-Vz*Qy/(Iz*2*th)</f>
        <v>0</v>
      </c>
      <c r="R9" s="20"/>
      <c r="S9" s="21"/>
      <c r="U9" s="4"/>
      <c r="V9">
        <f>MAX(X3:X6)</f>
        <v>1145414.8728643521</v>
      </c>
      <c r="Z9" s="1" t="s">
        <v>74</v>
      </c>
      <c r="AA9">
        <f>(PI()^2*E*(10^9)*Iz)/(2*h)^2</f>
        <v>266604.99736955256</v>
      </c>
      <c r="AB9" t="s">
        <v>32</v>
      </c>
      <c r="AC9">
        <f>AA9/9.81</f>
        <v>27176.860078445723</v>
      </c>
      <c r="AD9" t="s">
        <v>33</v>
      </c>
    </row>
    <row r="10" spans="1:30" ht="16.2" x14ac:dyDescent="0.3">
      <c r="A10" s="13" t="s">
        <v>27</v>
      </c>
      <c r="B10" cm="1">
        <f t="array" ref="B10">MomentOfInertia(B3,B2,B5)*2</f>
        <v>7.3490861082500014E-6</v>
      </c>
      <c r="C10" t="s">
        <v>70</v>
      </c>
      <c r="D10" cm="1">
        <f t="array" ref="D10">MomentOfInertia(D2,D3,D5)*2</f>
        <v>17.656249999999996</v>
      </c>
      <c r="E10" s="14" t="s">
        <v>26</v>
      </c>
      <c r="G10" s="13" t="s">
        <v>39</v>
      </c>
      <c r="H10" s="2">
        <v>0</v>
      </c>
      <c r="I10" t="s">
        <v>32</v>
      </c>
      <c r="U10" s="1"/>
      <c r="Z10" s="1" t="s">
        <v>75</v>
      </c>
      <c r="AA10">
        <f>(((PI()^2)*E*10^9)/(2*h/r_g))/10^6</f>
        <v>10521.510172995293</v>
      </c>
      <c r="AB10" t="s">
        <v>76</v>
      </c>
    </row>
    <row r="11" spans="1:30" x14ac:dyDescent="0.2">
      <c r="A11" s="13" t="s">
        <v>28</v>
      </c>
      <c r="B11" cm="1">
        <f t="array" ref="B11">PolarMomentOfInertia(B2,B3,B5)*2</f>
        <v>1.4698172216500003E-5</v>
      </c>
      <c r="C11" t="s">
        <v>70</v>
      </c>
      <c r="D11" cm="1">
        <f t="array" ref="D11">PolarMomentOfInertia(D2,D3,D5)*2</f>
        <v>35.312499999999993</v>
      </c>
      <c r="E11" s="14" t="s">
        <v>26</v>
      </c>
      <c r="G11" s="13" t="s">
        <v>40</v>
      </c>
      <c r="H11" s="2">
        <f>P_2+P_1</f>
        <v>-978.68484000000001</v>
      </c>
      <c r="I11" t="s">
        <v>32</v>
      </c>
      <c r="U11" s="4" t="s">
        <v>63</v>
      </c>
      <c r="Z11" s="4" t="s">
        <v>77</v>
      </c>
    </row>
    <row r="12" spans="1:30" ht="16.2" x14ac:dyDescent="0.3">
      <c r="U12" s="1"/>
      <c r="V12">
        <f>SQRT(V3^2-V3*W3+W3^2)</f>
        <v>2290829.7457287041</v>
      </c>
      <c r="W12" t="s">
        <v>16</v>
      </c>
      <c r="Z12" s="9" t="s">
        <v>78</v>
      </c>
      <c r="AA12">
        <f>(ABS(Ny)/A)*(1+((ABS(d_3)*(h/2))/(r_g^2))*_xlfn.SEC((h/(2*r_g))*SQRT(ABS(Ny)/(E*A))))/10^6</f>
        <v>-77.921112522412102</v>
      </c>
      <c r="AB12" t="s">
        <v>76</v>
      </c>
    </row>
    <row r="13" spans="1:30" x14ac:dyDescent="0.2">
      <c r="A13" s="13" t="s">
        <v>29</v>
      </c>
      <c r="B13">
        <f>SQRT(((b/2)^2)+(w/2)^2)</f>
        <v>7.1842048968553229E-2</v>
      </c>
      <c r="G13" s="13" t="s">
        <v>41</v>
      </c>
      <c r="H13" s="2">
        <f>(P_1+P_2)*d_3</f>
        <v>-339.88745808360005</v>
      </c>
      <c r="I13" t="s">
        <v>42</v>
      </c>
      <c r="U13" s="1"/>
      <c r="V13">
        <f>V12/10^6</f>
        <v>2.2908297457287041</v>
      </c>
      <c r="W13" t="s">
        <v>64</v>
      </c>
      <c r="Z13" s="1" t="s">
        <v>79</v>
      </c>
      <c r="AA13">
        <f>d_3*(_xlfn.SEC(SQRT(ABS(Ny)/(E*Ix))*(h/2))-1)</f>
        <v>-0.69472081189524126</v>
      </c>
      <c r="AB13" t="s">
        <v>19</v>
      </c>
    </row>
    <row r="14" spans="1:30" x14ac:dyDescent="0.2">
      <c r="G14" s="13" t="s">
        <v>43</v>
      </c>
      <c r="H14" s="2">
        <f>-(P_1*d_1+P_2*d_2)</f>
        <v>-58.454398781100053</v>
      </c>
      <c r="I14" t="s">
        <v>42</v>
      </c>
      <c r="U14" s="1" t="s">
        <v>65</v>
      </c>
      <c r="V14" s="8">
        <f>[1]Material_Proporties!B8/V13</f>
        <v>99.527256630533259</v>
      </c>
    </row>
    <row r="15" spans="1:30" x14ac:dyDescent="0.2">
      <c r="G15" s="13" t="s">
        <v>44</v>
      </c>
      <c r="H15" s="2">
        <v>0</v>
      </c>
      <c r="I15" t="s">
        <v>42</v>
      </c>
    </row>
    <row r="17" spans="2:2" x14ac:dyDescent="0.2">
      <c r="B17" cm="1">
        <f t="array" ref="B17">MomentOfInertia(B2*1000,B3*1000,B5*1000)*2</f>
        <v>7349086.1082499996</v>
      </c>
    </row>
    <row r="24" spans="2:2" x14ac:dyDescent="0.2">
      <c r="B24" cm="1">
        <f t="array" ref="B24">MomentOfInertia(4,4,1)</f>
        <v>20</v>
      </c>
    </row>
    <row r="25" spans="2:2" x14ac:dyDescent="0.2">
      <c r="B25">
        <f>(1/12)*4*(4^3)</f>
        <v>21.333333333333332</v>
      </c>
    </row>
    <row r="26" spans="2:2" x14ac:dyDescent="0.2">
      <c r="B26">
        <f>(1/12)*2*2^3</f>
        <v>1.3333333333333333</v>
      </c>
    </row>
    <row r="27" spans="2:2" x14ac:dyDescent="0.2">
      <c r="B27">
        <f>B25-B26</f>
        <v>20</v>
      </c>
    </row>
    <row r="50" spans="1:5" x14ac:dyDescent="0.2">
      <c r="A50" s="16" t="s">
        <v>66</v>
      </c>
    </row>
    <row r="51" spans="1:5" x14ac:dyDescent="0.2">
      <c r="A51" s="17" t="s">
        <v>67</v>
      </c>
    </row>
    <row r="52" spans="1:5" x14ac:dyDescent="0.2">
      <c r="A52" s="13" t="s">
        <v>68</v>
      </c>
      <c r="B52">
        <f>E</f>
        <v>190</v>
      </c>
      <c r="C52" t="s">
        <v>11</v>
      </c>
    </row>
    <row r="53" spans="1:5" x14ac:dyDescent="0.2">
      <c r="A53" s="13" t="s">
        <v>69</v>
      </c>
      <c r="B53">
        <f>Ix</f>
        <v>8.324628512E-6</v>
      </c>
      <c r="C53" t="s">
        <v>70</v>
      </c>
    </row>
    <row r="54" spans="1:5" x14ac:dyDescent="0.2">
      <c r="A54" s="13" t="s">
        <v>71</v>
      </c>
      <c r="B54">
        <f>h</f>
        <v>3.8260000000000001</v>
      </c>
      <c r="C54" t="s">
        <v>70</v>
      </c>
    </row>
    <row r="55" spans="1:5" x14ac:dyDescent="0.2">
      <c r="A55" s="13" t="s">
        <v>72</v>
      </c>
      <c r="B55">
        <f>SQRT(Ix/A)</f>
        <v>4.2933836140208639E-2</v>
      </c>
      <c r="C55" t="s">
        <v>19</v>
      </c>
    </row>
    <row r="57" spans="1:5" x14ac:dyDescent="0.2">
      <c r="A57" s="17" t="s">
        <v>73</v>
      </c>
    </row>
    <row r="58" spans="1:5" x14ac:dyDescent="0.2">
      <c r="A58" s="13" t="s">
        <v>74</v>
      </c>
      <c r="B58">
        <f>(PI()^2*E*(10^9)*Iz)/(2*h)^2</f>
        <v>266604.99736955256</v>
      </c>
      <c r="C58" t="s">
        <v>32</v>
      </c>
      <c r="D58">
        <f>B58/9.81</f>
        <v>27176.860078445723</v>
      </c>
      <c r="E58" s="14" t="s">
        <v>33</v>
      </c>
    </row>
    <row r="59" spans="1:5" ht="16.2" x14ac:dyDescent="0.3">
      <c r="A59" s="13" t="s">
        <v>75</v>
      </c>
      <c r="B59">
        <f>(((PI()^2)*E*10^9)/(2*h/r_g))/10^6</f>
        <v>10521.510172995293</v>
      </c>
      <c r="C59" t="s">
        <v>76</v>
      </c>
    </row>
    <row r="60" spans="1:5" x14ac:dyDescent="0.2">
      <c r="A60" s="17" t="s">
        <v>77</v>
      </c>
    </row>
    <row r="61" spans="1:5" ht="16.2" x14ac:dyDescent="0.3">
      <c r="A61" s="18" t="s">
        <v>78</v>
      </c>
      <c r="B61">
        <f>(ABS(Ny)/A)*(1+((ABS(d_3)*(h/2))/(r_g^2))*_xlfn.SEC((h/(2*r_g))*SQRT(ABS(Ny)/(E*A))))/10^6</f>
        <v>-77.921112522412102</v>
      </c>
      <c r="C61" t="s">
        <v>76</v>
      </c>
    </row>
    <row r="62" spans="1:5" x14ac:dyDescent="0.2">
      <c r="A62" s="13" t="s">
        <v>79</v>
      </c>
      <c r="B62">
        <f>d_3*(_xlfn.SEC(SQRT(ABS(Ny)/(E*Ix))*(h/2))-1)</f>
        <v>-0.69472081189524126</v>
      </c>
      <c r="C62" t="s">
        <v>19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431B9-9B34-417F-B612-F0E81C06E172}">
  <sheetPr codeName="Sheet1"/>
  <dimension ref="A1:I302"/>
  <sheetViews>
    <sheetView tabSelected="1" workbookViewId="0">
      <selection activeCell="F9" sqref="F9"/>
    </sheetView>
  </sheetViews>
  <sheetFormatPr defaultRowHeight="12.6" x14ac:dyDescent="0.2"/>
  <cols>
    <col min="5" max="5" width="2.36328125" style="22" customWidth="1"/>
    <col min="6" max="6" width="12" bestFit="1" customWidth="1"/>
    <col min="9" max="9" width="1.90625" style="22" customWidth="1"/>
    <col min="12" max="12" width="10" bestFit="1" customWidth="1"/>
  </cols>
  <sheetData>
    <row r="1" spans="1:8" x14ac:dyDescent="0.2">
      <c r="A1" t="s">
        <v>82</v>
      </c>
      <c r="B1" t="s">
        <v>84</v>
      </c>
      <c r="C1" t="s">
        <v>85</v>
      </c>
      <c r="D1" t="s">
        <v>83</v>
      </c>
      <c r="F1" t="s">
        <v>84</v>
      </c>
      <c r="G1" t="s">
        <v>85</v>
      </c>
      <c r="H1" t="s">
        <v>83</v>
      </c>
    </row>
    <row r="2" spans="1:8" x14ac:dyDescent="0.2">
      <c r="A2">
        <v>0</v>
      </c>
      <c r="B2">
        <v>-339.88745808360005</v>
      </c>
      <c r="C2">
        <v>0</v>
      </c>
      <c r="D2">
        <v>0</v>
      </c>
      <c r="F2">
        <v>-2.4341548486233667E-4</v>
      </c>
      <c r="G2">
        <v>0</v>
      </c>
      <c r="H2">
        <v>0</v>
      </c>
    </row>
    <row r="3" spans="1:8" x14ac:dyDescent="0.2">
      <c r="A3">
        <v>0.01</v>
      </c>
      <c r="B3">
        <v>-339.88745808360005</v>
      </c>
      <c r="C3">
        <v>-3.3988745808360008</v>
      </c>
      <c r="D3">
        <v>-1.6994372904180002E-2</v>
      </c>
      <c r="F3">
        <v>-2.4341548486233667E-4</v>
      </c>
      <c r="G3">
        <v>-2.4341548486233672E-6</v>
      </c>
      <c r="H3">
        <v>-1.2170774243116834E-8</v>
      </c>
    </row>
    <row r="4" spans="1:8" x14ac:dyDescent="0.2">
      <c r="A4">
        <v>0.02</v>
      </c>
      <c r="B4">
        <v>-339.88745808360005</v>
      </c>
      <c r="C4">
        <v>-6.7977491616720016</v>
      </c>
      <c r="D4">
        <v>-6.7977491616720009E-2</v>
      </c>
      <c r="F4">
        <v>-2.4341548486233667E-4</v>
      </c>
      <c r="G4">
        <v>-4.8683096972467343E-6</v>
      </c>
      <c r="H4">
        <v>-4.8683096972467334E-8</v>
      </c>
    </row>
    <row r="5" spans="1:8" x14ac:dyDescent="0.2">
      <c r="A5">
        <v>0.03</v>
      </c>
      <c r="B5">
        <v>-339.88745808360005</v>
      </c>
      <c r="C5">
        <v>-10.196623742508001</v>
      </c>
      <c r="D5">
        <v>-0.15294935613762001</v>
      </c>
      <c r="F5">
        <v>-2.4341548486233667E-4</v>
      </c>
      <c r="G5">
        <v>-7.3024645458700998E-6</v>
      </c>
      <c r="H5">
        <v>-1.0953696818805149E-7</v>
      </c>
    </row>
    <row r="6" spans="1:8" x14ac:dyDescent="0.2">
      <c r="A6">
        <v>0.04</v>
      </c>
      <c r="B6">
        <v>-339.88745808360005</v>
      </c>
      <c r="C6">
        <v>-13.595498323344003</v>
      </c>
      <c r="D6">
        <v>-0.27190996646688004</v>
      </c>
      <c r="F6">
        <v>-2.4341548486233667E-4</v>
      </c>
      <c r="G6">
        <v>-9.7366193944934686E-6</v>
      </c>
      <c r="H6">
        <v>-1.9473238788986934E-7</v>
      </c>
    </row>
    <row r="7" spans="1:8" x14ac:dyDescent="0.2">
      <c r="A7">
        <v>0.05</v>
      </c>
      <c r="B7">
        <v>-339.88745808360005</v>
      </c>
      <c r="C7">
        <v>-16.994372904180004</v>
      </c>
      <c r="D7">
        <v>-0.42485932260450016</v>
      </c>
      <c r="F7">
        <v>-2.4341548486233667E-4</v>
      </c>
      <c r="G7">
        <v>-1.2170774243116834E-5</v>
      </c>
      <c r="H7">
        <v>-3.0426935607792089E-7</v>
      </c>
    </row>
    <row r="8" spans="1:8" x14ac:dyDescent="0.2">
      <c r="A8">
        <v>0.06</v>
      </c>
      <c r="B8">
        <v>-339.88745808360005</v>
      </c>
      <c r="C8">
        <v>-20.393247485016001</v>
      </c>
      <c r="D8">
        <v>-0.61179742455048003</v>
      </c>
      <c r="F8">
        <v>-2.4341548486233667E-4</v>
      </c>
      <c r="G8">
        <v>-1.46049290917402E-5</v>
      </c>
      <c r="H8">
        <v>-4.3814787275220597E-7</v>
      </c>
    </row>
    <row r="9" spans="1:8" x14ac:dyDescent="0.2">
      <c r="A9">
        <v>7.0000000000000007E-2</v>
      </c>
      <c r="B9">
        <v>-339.88745808360005</v>
      </c>
      <c r="C9">
        <v>-23.792122065852006</v>
      </c>
      <c r="D9">
        <v>-0.83272427230482027</v>
      </c>
      <c r="F9">
        <v>-2.4341548486233667E-4</v>
      </c>
      <c r="G9">
        <v>-1.7039083940363568E-5</v>
      </c>
      <c r="H9">
        <v>-5.9636793791272498E-7</v>
      </c>
    </row>
    <row r="10" spans="1:8" x14ac:dyDescent="0.2">
      <c r="A10">
        <v>0.08</v>
      </c>
      <c r="B10">
        <v>-339.88745808360005</v>
      </c>
      <c r="C10">
        <v>-27.190996646688006</v>
      </c>
      <c r="D10">
        <v>-1.0876398658675202</v>
      </c>
      <c r="F10">
        <v>-2.4341548486233667E-4</v>
      </c>
      <c r="G10">
        <v>-1.9473238788986937E-5</v>
      </c>
      <c r="H10">
        <v>-7.7892955155947735E-7</v>
      </c>
    </row>
    <row r="11" spans="1:8" x14ac:dyDescent="0.2">
      <c r="A11">
        <v>0.09</v>
      </c>
      <c r="B11">
        <v>-339.88745808360005</v>
      </c>
      <c r="C11">
        <v>-30.589871227524004</v>
      </c>
      <c r="D11">
        <v>-1.3765442052385801</v>
      </c>
      <c r="F11">
        <v>-2.4341548486233667E-4</v>
      </c>
      <c r="G11">
        <v>-2.1907393637610299E-5</v>
      </c>
      <c r="H11">
        <v>-9.8583271369246354E-7</v>
      </c>
    </row>
    <row r="12" spans="1:8" x14ac:dyDescent="0.2">
      <c r="A12">
        <v>0.1</v>
      </c>
      <c r="B12">
        <v>-339.88745808360005</v>
      </c>
      <c r="C12">
        <v>-33.988745808360008</v>
      </c>
      <c r="D12">
        <v>-1.6994372904180006</v>
      </c>
      <c r="F12">
        <v>-2.4341548486233667E-4</v>
      </c>
      <c r="G12">
        <v>-2.4341548486233668E-5</v>
      </c>
      <c r="H12">
        <v>-1.2170774243116836E-6</v>
      </c>
    </row>
    <row r="13" spans="1:8" x14ac:dyDescent="0.2">
      <c r="A13">
        <v>0.11</v>
      </c>
      <c r="B13">
        <v>-339.88745808360005</v>
      </c>
      <c r="C13">
        <v>-37.387620389196009</v>
      </c>
      <c r="D13">
        <v>-2.0563191214057803</v>
      </c>
      <c r="F13">
        <v>-2.4341548486233667E-4</v>
      </c>
      <c r="G13">
        <v>-2.6775703334857037E-5</v>
      </c>
      <c r="H13">
        <v>-1.4726636834171368E-6</v>
      </c>
    </row>
    <row r="14" spans="1:8" x14ac:dyDescent="0.2">
      <c r="A14">
        <v>0.12</v>
      </c>
      <c r="B14">
        <v>-339.88745808360005</v>
      </c>
      <c r="C14">
        <v>-40.786494970032003</v>
      </c>
      <c r="D14">
        <v>-2.4471896982019201</v>
      </c>
      <c r="F14">
        <v>-2.4341548486233667E-4</v>
      </c>
      <c r="G14">
        <v>-2.9209858183480399E-5</v>
      </c>
      <c r="H14">
        <v>-1.7525914910088239E-6</v>
      </c>
    </row>
    <row r="15" spans="1:8" x14ac:dyDescent="0.2">
      <c r="A15">
        <v>0.13</v>
      </c>
      <c r="B15">
        <v>-339.88745808360005</v>
      </c>
      <c r="C15">
        <v>-44.18536955086801</v>
      </c>
      <c r="D15">
        <v>-2.8720490208064207</v>
      </c>
      <c r="F15">
        <v>-2.4341548486233667E-4</v>
      </c>
      <c r="G15">
        <v>-3.1644013032103768E-5</v>
      </c>
      <c r="H15">
        <v>-2.0568608470867452E-6</v>
      </c>
    </row>
    <row r="16" spans="1:8" x14ac:dyDescent="0.2">
      <c r="A16">
        <v>0.14000000000000001</v>
      </c>
      <c r="B16">
        <v>-339.88745808360005</v>
      </c>
      <c r="C16">
        <v>-47.584244131704011</v>
      </c>
      <c r="D16">
        <v>-3.3308970892192811</v>
      </c>
      <c r="F16">
        <v>-2.4341548486233667E-4</v>
      </c>
      <c r="G16">
        <v>-3.4078167880727137E-5</v>
      </c>
      <c r="H16">
        <v>-2.3854717516508999E-6</v>
      </c>
    </row>
    <row r="17" spans="1:8" x14ac:dyDescent="0.2">
      <c r="A17">
        <v>0.15</v>
      </c>
      <c r="B17">
        <v>-339.88745808360005</v>
      </c>
      <c r="C17">
        <v>-50.983118712540005</v>
      </c>
      <c r="D17">
        <v>-3.8237339034405005</v>
      </c>
      <c r="F17">
        <v>-2.4341548486233667E-4</v>
      </c>
      <c r="G17">
        <v>-3.6512322729350499E-5</v>
      </c>
      <c r="H17">
        <v>-2.7384242047012874E-6</v>
      </c>
    </row>
    <row r="18" spans="1:8" x14ac:dyDescent="0.2">
      <c r="A18">
        <v>0.16</v>
      </c>
      <c r="B18">
        <v>-339.88745808360005</v>
      </c>
      <c r="C18">
        <v>-54.381993293376013</v>
      </c>
      <c r="D18">
        <v>-4.3505594634700806</v>
      </c>
      <c r="F18">
        <v>-2.4341548486233667E-4</v>
      </c>
      <c r="G18">
        <v>-3.8946477577973874E-5</v>
      </c>
      <c r="H18">
        <v>-3.1157182062379094E-6</v>
      </c>
    </row>
    <row r="19" spans="1:8" x14ac:dyDescent="0.2">
      <c r="A19">
        <v>0.17</v>
      </c>
      <c r="B19">
        <v>-339.88745808360005</v>
      </c>
      <c r="C19">
        <v>-57.780867874212014</v>
      </c>
      <c r="D19">
        <v>-4.9113737693080219</v>
      </c>
      <c r="F19">
        <v>-2.4341548486233667E-4</v>
      </c>
      <c r="G19">
        <v>-4.1380632426597237E-5</v>
      </c>
      <c r="H19">
        <v>-3.5173537562607658E-6</v>
      </c>
    </row>
    <row r="20" spans="1:8" x14ac:dyDescent="0.2">
      <c r="A20">
        <v>0.18</v>
      </c>
      <c r="B20">
        <v>-339.88745808360005</v>
      </c>
      <c r="C20">
        <v>-61.179742455048007</v>
      </c>
      <c r="D20">
        <v>-5.5061768209543205</v>
      </c>
      <c r="F20">
        <v>-2.4341548486233667E-4</v>
      </c>
      <c r="G20">
        <v>-4.3814787275220599E-5</v>
      </c>
      <c r="H20">
        <v>-3.9433308547698542E-6</v>
      </c>
    </row>
    <row r="21" spans="1:8" x14ac:dyDescent="0.2">
      <c r="A21">
        <v>0.19</v>
      </c>
      <c r="B21">
        <v>-339.88745808360005</v>
      </c>
      <c r="C21">
        <v>-64.578617035884008</v>
      </c>
      <c r="D21">
        <v>-6.1349686184089807</v>
      </c>
      <c r="F21">
        <v>-2.4341548486233667E-4</v>
      </c>
      <c r="G21">
        <v>-4.6248942123843967E-5</v>
      </c>
      <c r="H21">
        <v>-4.393649501765177E-6</v>
      </c>
    </row>
    <row r="22" spans="1:8" x14ac:dyDescent="0.2">
      <c r="A22">
        <v>0.2</v>
      </c>
      <c r="B22">
        <v>-339.88745808360005</v>
      </c>
      <c r="C22">
        <v>-67.977491616720016</v>
      </c>
      <c r="D22">
        <v>-6.7977491616720025</v>
      </c>
      <c r="F22">
        <v>-2.4341548486233667E-4</v>
      </c>
      <c r="G22">
        <v>-4.8683096972467336E-5</v>
      </c>
      <c r="H22">
        <v>-4.8683096972467343E-6</v>
      </c>
    </row>
    <row r="23" spans="1:8" x14ac:dyDescent="0.2">
      <c r="A23">
        <v>0.21</v>
      </c>
      <c r="B23">
        <v>-339.88745808360005</v>
      </c>
      <c r="C23">
        <v>-71.37636619755601</v>
      </c>
      <c r="D23">
        <v>-7.4945184507433797</v>
      </c>
      <c r="F23">
        <v>-2.4341548486233667E-4</v>
      </c>
      <c r="G23">
        <v>-5.1117251821090698E-5</v>
      </c>
      <c r="H23">
        <v>-5.3673114412145227E-6</v>
      </c>
    </row>
    <row r="24" spans="1:8" x14ac:dyDescent="0.2">
      <c r="A24">
        <v>0.22</v>
      </c>
      <c r="B24">
        <v>-339.88745808360005</v>
      </c>
      <c r="C24">
        <v>-74.775240778392018</v>
      </c>
      <c r="D24">
        <v>-8.2252764856231213</v>
      </c>
      <c r="F24">
        <v>-2.4341548486233667E-4</v>
      </c>
      <c r="G24">
        <v>-5.3551406669714074E-5</v>
      </c>
      <c r="H24">
        <v>-5.8906547336685472E-6</v>
      </c>
    </row>
    <row r="25" spans="1:8" x14ac:dyDescent="0.2">
      <c r="A25">
        <v>0.23</v>
      </c>
      <c r="B25">
        <v>-339.88745808360005</v>
      </c>
      <c r="C25">
        <v>-78.174115359228011</v>
      </c>
      <c r="D25">
        <v>-8.990023266311221</v>
      </c>
      <c r="F25">
        <v>-2.4341548486233667E-4</v>
      </c>
      <c r="G25">
        <v>-5.5985561518337436E-5</v>
      </c>
      <c r="H25">
        <v>-6.4383395746088045E-6</v>
      </c>
    </row>
    <row r="26" spans="1:8" x14ac:dyDescent="0.2">
      <c r="A26">
        <v>0.24</v>
      </c>
      <c r="B26">
        <v>-339.88745808360005</v>
      </c>
      <c r="C26">
        <v>-81.572989940064005</v>
      </c>
      <c r="D26">
        <v>-9.7887587928076805</v>
      </c>
      <c r="F26">
        <v>-2.4341548486233667E-4</v>
      </c>
      <c r="G26">
        <v>-5.8419716366960798E-5</v>
      </c>
      <c r="H26">
        <v>-7.0103659640352955E-6</v>
      </c>
    </row>
    <row r="27" spans="1:8" x14ac:dyDescent="0.2">
      <c r="A27">
        <v>0.25</v>
      </c>
      <c r="B27">
        <v>-339.88745808360005</v>
      </c>
      <c r="C27">
        <v>-84.971864520900013</v>
      </c>
      <c r="D27">
        <v>-10.621483065112502</v>
      </c>
      <c r="F27">
        <v>-2.4341548486233667E-4</v>
      </c>
      <c r="G27">
        <v>-6.0853871215584167E-5</v>
      </c>
      <c r="H27">
        <v>-7.6067339019480209E-6</v>
      </c>
    </row>
    <row r="28" spans="1:8" x14ac:dyDescent="0.2">
      <c r="A28">
        <v>0.26</v>
      </c>
      <c r="B28">
        <v>-339.88745808360005</v>
      </c>
      <c r="C28">
        <v>-88.370739101736021</v>
      </c>
      <c r="D28">
        <v>-11.488196083225683</v>
      </c>
      <c r="F28">
        <v>-2.4341548486233667E-4</v>
      </c>
      <c r="G28">
        <v>-6.3288026064207536E-5</v>
      </c>
      <c r="H28">
        <v>-8.2274433883469807E-6</v>
      </c>
    </row>
    <row r="29" spans="1:8" x14ac:dyDescent="0.2">
      <c r="A29">
        <v>0.27</v>
      </c>
      <c r="B29">
        <v>-339.88745808360005</v>
      </c>
      <c r="C29">
        <v>-91.769613682572015</v>
      </c>
      <c r="D29">
        <v>-12.388897847147224</v>
      </c>
      <c r="F29">
        <v>-2.4341548486233667E-4</v>
      </c>
      <c r="G29">
        <v>-6.5722180912830905E-5</v>
      </c>
      <c r="H29">
        <v>-8.8724944232321725E-6</v>
      </c>
    </row>
    <row r="30" spans="1:8" x14ac:dyDescent="0.2">
      <c r="A30">
        <v>0.28000000000000003</v>
      </c>
      <c r="B30">
        <v>-339.88745808360005</v>
      </c>
      <c r="C30">
        <v>-95.168488263408022</v>
      </c>
      <c r="D30">
        <v>-13.323588356877124</v>
      </c>
      <c r="F30">
        <v>-2.4341548486233667E-4</v>
      </c>
      <c r="G30">
        <v>-6.8156335761454274E-5</v>
      </c>
      <c r="H30">
        <v>-9.5418870066035996E-6</v>
      </c>
    </row>
    <row r="31" spans="1:8" x14ac:dyDescent="0.2">
      <c r="A31">
        <v>0.28999999999999998</v>
      </c>
      <c r="B31">
        <v>-339.88745808360005</v>
      </c>
      <c r="C31">
        <v>-98.567362844244002</v>
      </c>
      <c r="D31">
        <v>-14.292267612415381</v>
      </c>
      <c r="F31">
        <v>-2.4341548486233667E-4</v>
      </c>
      <c r="G31">
        <v>-7.0590490610077629E-5</v>
      </c>
      <c r="H31">
        <v>-1.0235621138461257E-5</v>
      </c>
    </row>
    <row r="32" spans="1:8" x14ac:dyDescent="0.2">
      <c r="A32">
        <v>0.3</v>
      </c>
      <c r="B32">
        <v>-339.88745808360005</v>
      </c>
      <c r="C32">
        <v>-101.96623742508001</v>
      </c>
      <c r="D32">
        <v>-15.294935613762002</v>
      </c>
      <c r="F32">
        <v>-2.4341548486233667E-4</v>
      </c>
      <c r="G32">
        <v>-7.3024645458700998E-5</v>
      </c>
      <c r="H32">
        <v>-1.095369681880515E-5</v>
      </c>
    </row>
    <row r="33" spans="1:8" x14ac:dyDescent="0.2">
      <c r="A33">
        <v>0.31</v>
      </c>
      <c r="B33">
        <v>-339.88745808360005</v>
      </c>
      <c r="C33">
        <v>-105.36511200591602</v>
      </c>
      <c r="D33">
        <v>-16.331592360916982</v>
      </c>
      <c r="F33">
        <v>-2.4341548486233667E-4</v>
      </c>
      <c r="G33">
        <v>-7.5458800307324367E-5</v>
      </c>
      <c r="H33">
        <v>-1.1696114047635278E-5</v>
      </c>
    </row>
    <row r="34" spans="1:8" x14ac:dyDescent="0.2">
      <c r="A34">
        <v>0.32</v>
      </c>
      <c r="B34">
        <v>-339.88745808360005</v>
      </c>
      <c r="C34">
        <v>-108.76398658675203</v>
      </c>
      <c r="D34">
        <v>-17.402237853880322</v>
      </c>
      <c r="F34">
        <v>-2.4341548486233667E-4</v>
      </c>
      <c r="G34">
        <v>-7.7892955155947749E-5</v>
      </c>
      <c r="H34">
        <v>-1.2462872824951638E-5</v>
      </c>
    </row>
    <row r="35" spans="1:8" x14ac:dyDescent="0.2">
      <c r="A35">
        <v>0.33</v>
      </c>
      <c r="B35">
        <v>-339.88745808360005</v>
      </c>
      <c r="C35">
        <v>-112.16286116758802</v>
      </c>
      <c r="D35">
        <v>-18.506872092652024</v>
      </c>
      <c r="F35">
        <v>-2.4341548486233667E-4</v>
      </c>
      <c r="G35">
        <v>-8.0327110004571104E-5</v>
      </c>
      <c r="H35">
        <v>-1.3253973150754233E-5</v>
      </c>
    </row>
    <row r="36" spans="1:8" x14ac:dyDescent="0.2">
      <c r="A36">
        <v>0.34</v>
      </c>
      <c r="B36">
        <v>-339.88745808360005</v>
      </c>
      <c r="C36">
        <v>-115.56173574842403</v>
      </c>
      <c r="D36">
        <v>-19.645495077232088</v>
      </c>
      <c r="F36">
        <v>-2.4341548486233667E-4</v>
      </c>
      <c r="G36">
        <v>-8.2761264853194473E-5</v>
      </c>
      <c r="H36">
        <v>-1.4069415025043063E-5</v>
      </c>
    </row>
    <row r="37" spans="1:8" x14ac:dyDescent="0.2">
      <c r="A37">
        <v>0.35</v>
      </c>
      <c r="B37">
        <v>-339.88745808360005</v>
      </c>
      <c r="C37">
        <v>-118.96061032926001</v>
      </c>
      <c r="D37">
        <v>-20.818106807620499</v>
      </c>
      <c r="F37">
        <v>-2.4341548486233667E-4</v>
      </c>
      <c r="G37">
        <v>-8.5195419701817828E-5</v>
      </c>
      <c r="H37">
        <v>-1.4909198447818119E-5</v>
      </c>
    </row>
    <row r="38" spans="1:8" x14ac:dyDescent="0.2">
      <c r="A38">
        <v>0.36</v>
      </c>
      <c r="B38">
        <v>-339.88745808360005</v>
      </c>
      <c r="C38">
        <v>-122.35948491009601</v>
      </c>
      <c r="D38">
        <v>-22.024707283817282</v>
      </c>
      <c r="F38">
        <v>-2.4341548486233667E-4</v>
      </c>
      <c r="G38">
        <v>-8.7629574550441197E-5</v>
      </c>
      <c r="H38">
        <v>-1.5773323419079417E-5</v>
      </c>
    </row>
    <row r="39" spans="1:8" x14ac:dyDescent="0.2">
      <c r="A39">
        <v>0.37</v>
      </c>
      <c r="B39">
        <v>-339.88745808360005</v>
      </c>
      <c r="C39">
        <v>-125.75835949093202</v>
      </c>
      <c r="D39">
        <v>-23.265296505822423</v>
      </c>
      <c r="F39">
        <v>-2.4341548486233667E-4</v>
      </c>
      <c r="G39">
        <v>-9.006372939906458E-5</v>
      </c>
      <c r="H39">
        <v>-1.6661789938826945E-5</v>
      </c>
    </row>
    <row r="40" spans="1:8" x14ac:dyDescent="0.2">
      <c r="A40">
        <v>0.38</v>
      </c>
      <c r="B40">
        <v>-339.88745808360005</v>
      </c>
      <c r="C40">
        <v>-129.15723407176802</v>
      </c>
      <c r="D40">
        <v>-24.539874473635923</v>
      </c>
      <c r="F40">
        <v>-2.4341548486233667E-4</v>
      </c>
      <c r="G40">
        <v>-9.2497884247687935E-5</v>
      </c>
      <c r="H40">
        <v>-1.7574598007060708E-5</v>
      </c>
    </row>
    <row r="41" spans="1:8" x14ac:dyDescent="0.2">
      <c r="A41">
        <v>0.39</v>
      </c>
      <c r="B41">
        <v>-339.88745808360005</v>
      </c>
      <c r="C41">
        <v>-132.55610865260402</v>
      </c>
      <c r="D41">
        <v>-25.848441187257787</v>
      </c>
      <c r="F41">
        <v>-2.4341548486233667E-4</v>
      </c>
      <c r="G41">
        <v>-9.4932039096311304E-5</v>
      </c>
      <c r="H41">
        <v>-1.8511747623780707E-5</v>
      </c>
    </row>
    <row r="42" spans="1:8" x14ac:dyDescent="0.2">
      <c r="A42">
        <v>0.4</v>
      </c>
      <c r="B42">
        <v>-339.88745808360005</v>
      </c>
      <c r="C42">
        <v>-135.95498323344003</v>
      </c>
      <c r="D42">
        <v>-27.19099664668801</v>
      </c>
      <c r="F42">
        <v>-2.4341548486233667E-4</v>
      </c>
      <c r="G42">
        <v>-9.7366193944934673E-5</v>
      </c>
      <c r="H42">
        <v>-1.9473238788986937E-5</v>
      </c>
    </row>
    <row r="43" spans="1:8" x14ac:dyDescent="0.2">
      <c r="A43">
        <v>0.41</v>
      </c>
      <c r="B43">
        <v>-339.88745808360005</v>
      </c>
      <c r="C43">
        <v>-139.35385781427601</v>
      </c>
      <c r="D43">
        <v>-28.56754085192658</v>
      </c>
      <c r="F43">
        <v>-2.4341548486233667E-4</v>
      </c>
      <c r="G43">
        <v>-9.9800348793558028E-5</v>
      </c>
      <c r="H43">
        <v>-2.0459071502679396E-5</v>
      </c>
    </row>
    <row r="44" spans="1:8" x14ac:dyDescent="0.2">
      <c r="A44">
        <v>0.42</v>
      </c>
      <c r="B44">
        <v>-339.88745808360005</v>
      </c>
      <c r="C44">
        <v>-142.75273239511202</v>
      </c>
      <c r="D44">
        <v>-29.978073802973519</v>
      </c>
      <c r="F44">
        <v>-2.4341548486233667E-4</v>
      </c>
      <c r="G44">
        <v>-1.022345036421814E-4</v>
      </c>
      <c r="H44">
        <v>-2.1469245764858091E-5</v>
      </c>
    </row>
    <row r="45" spans="1:8" x14ac:dyDescent="0.2">
      <c r="A45">
        <v>0.43</v>
      </c>
      <c r="B45">
        <v>-339.88745808360005</v>
      </c>
      <c r="C45">
        <v>-146.15160697594803</v>
      </c>
      <c r="D45">
        <v>-31.422595499828823</v>
      </c>
      <c r="F45">
        <v>-2.4341548486233667E-4</v>
      </c>
      <c r="G45">
        <v>-1.0466865849080478E-4</v>
      </c>
      <c r="H45">
        <v>-2.2503761575523024E-5</v>
      </c>
    </row>
    <row r="46" spans="1:8" x14ac:dyDescent="0.2">
      <c r="A46">
        <v>0.44</v>
      </c>
      <c r="B46">
        <v>-339.88745808360005</v>
      </c>
      <c r="C46">
        <v>-149.55048155678404</v>
      </c>
      <c r="D46">
        <v>-32.901105942492485</v>
      </c>
      <c r="F46">
        <v>-2.4341548486233667E-4</v>
      </c>
      <c r="G46">
        <v>-1.0710281333942815E-4</v>
      </c>
      <c r="H46">
        <v>-2.3562618934674189E-5</v>
      </c>
    </row>
    <row r="47" spans="1:8" x14ac:dyDescent="0.2">
      <c r="A47">
        <v>0.45</v>
      </c>
      <c r="B47">
        <v>-339.88745808360005</v>
      </c>
      <c r="C47">
        <v>-152.94935613762001</v>
      </c>
      <c r="D47">
        <v>-34.413605130964505</v>
      </c>
      <c r="F47">
        <v>-2.4341548486233667E-4</v>
      </c>
      <c r="G47">
        <v>-1.095369681880515E-4</v>
      </c>
      <c r="H47">
        <v>-2.4645817842311589E-5</v>
      </c>
    </row>
    <row r="48" spans="1:8" x14ac:dyDescent="0.2">
      <c r="A48">
        <v>0.46</v>
      </c>
      <c r="B48">
        <v>-339.88745808360005</v>
      </c>
      <c r="C48">
        <v>-156.34823071845602</v>
      </c>
      <c r="D48">
        <v>-35.960093065244884</v>
      </c>
      <c r="F48">
        <v>-2.4341548486233667E-4</v>
      </c>
      <c r="G48">
        <v>-1.1197112303667487E-4</v>
      </c>
      <c r="H48">
        <v>-2.5753358298435218E-5</v>
      </c>
    </row>
    <row r="49" spans="1:8" x14ac:dyDescent="0.2">
      <c r="A49">
        <v>0.47</v>
      </c>
      <c r="B49">
        <v>-339.88745808360005</v>
      </c>
      <c r="C49">
        <v>-159.747105299292</v>
      </c>
      <c r="D49">
        <v>-37.54056974533362</v>
      </c>
      <c r="F49">
        <v>-2.4341548486233667E-4</v>
      </c>
      <c r="G49">
        <v>-1.1440527788529823E-4</v>
      </c>
      <c r="H49">
        <v>-2.6885240303045082E-5</v>
      </c>
    </row>
    <row r="50" spans="1:8" x14ac:dyDescent="0.2">
      <c r="A50">
        <v>0.48</v>
      </c>
      <c r="B50">
        <v>-339.88745808360005</v>
      </c>
      <c r="C50">
        <v>-163.14597988012801</v>
      </c>
      <c r="D50">
        <v>-39.155035171230722</v>
      </c>
      <c r="F50">
        <v>-2.4341548486233667E-4</v>
      </c>
      <c r="G50">
        <v>-1.168394327339216E-4</v>
      </c>
      <c r="H50">
        <v>-2.8041463856141182E-5</v>
      </c>
    </row>
    <row r="51" spans="1:8" x14ac:dyDescent="0.2">
      <c r="A51">
        <v>0.49</v>
      </c>
      <c r="B51">
        <v>-339.88745808360005</v>
      </c>
      <c r="C51">
        <v>-166.54485446096402</v>
      </c>
      <c r="D51">
        <v>-40.803489342936182</v>
      </c>
      <c r="F51">
        <v>-2.4341548486233667E-4</v>
      </c>
      <c r="G51">
        <v>-1.1927358758254497E-4</v>
      </c>
      <c r="H51">
        <v>-2.9222028957723513E-5</v>
      </c>
    </row>
    <row r="52" spans="1:8" x14ac:dyDescent="0.2">
      <c r="A52">
        <v>0.5</v>
      </c>
      <c r="B52">
        <v>-339.88745808360005</v>
      </c>
      <c r="C52">
        <v>-169.94372904180003</v>
      </c>
      <c r="D52">
        <v>-42.485932260450006</v>
      </c>
      <c r="F52">
        <v>-2.4341548486233667E-4</v>
      </c>
      <c r="G52">
        <v>-1.2170774243116833E-4</v>
      </c>
      <c r="H52">
        <v>-3.0426935607792083E-5</v>
      </c>
    </row>
    <row r="53" spans="1:8" x14ac:dyDescent="0.2">
      <c r="A53">
        <v>0.51</v>
      </c>
      <c r="B53">
        <v>-339.88745808360005</v>
      </c>
      <c r="C53">
        <v>-173.34260362263603</v>
      </c>
      <c r="D53">
        <v>-44.202363923772189</v>
      </c>
      <c r="F53">
        <v>-2.4341548486233667E-4</v>
      </c>
      <c r="G53">
        <v>-1.241418972797917E-4</v>
      </c>
      <c r="H53">
        <v>-3.1656183806346889E-5</v>
      </c>
    </row>
    <row r="54" spans="1:8" x14ac:dyDescent="0.2">
      <c r="A54">
        <v>0.52</v>
      </c>
      <c r="B54">
        <v>-339.88745808360005</v>
      </c>
      <c r="C54">
        <v>-176.74147820347204</v>
      </c>
      <c r="D54">
        <v>-45.952784332902731</v>
      </c>
      <c r="F54">
        <v>-2.4341548486233667E-4</v>
      </c>
      <c r="G54">
        <v>-1.2657605212841507E-4</v>
      </c>
      <c r="H54">
        <v>-3.2909773553387923E-5</v>
      </c>
    </row>
    <row r="55" spans="1:8" x14ac:dyDescent="0.2">
      <c r="A55">
        <v>0.53</v>
      </c>
      <c r="B55">
        <v>-339.88745808360005</v>
      </c>
      <c r="C55">
        <v>-180.14035278430805</v>
      </c>
      <c r="D55">
        <v>-47.737193487841637</v>
      </c>
      <c r="F55">
        <v>-2.4341548486233667E-4</v>
      </c>
      <c r="G55">
        <v>-1.2901020697703847E-4</v>
      </c>
      <c r="H55">
        <v>-3.4187704848915192E-5</v>
      </c>
    </row>
    <row r="56" spans="1:8" x14ac:dyDescent="0.2">
      <c r="A56">
        <v>0.54</v>
      </c>
      <c r="B56">
        <v>-339.88745808360005</v>
      </c>
      <c r="C56">
        <v>-183.53922736514403</v>
      </c>
      <c r="D56">
        <v>-49.555591388588894</v>
      </c>
      <c r="F56">
        <v>-2.4341548486233667E-4</v>
      </c>
      <c r="G56">
        <v>-1.3144436182566181E-4</v>
      </c>
      <c r="H56">
        <v>-3.548997769292869E-5</v>
      </c>
    </row>
    <row r="57" spans="1:8" x14ac:dyDescent="0.2">
      <c r="A57">
        <v>0.55000000000000004</v>
      </c>
      <c r="B57">
        <v>-339.88745808360005</v>
      </c>
      <c r="C57">
        <v>-186.93810194598004</v>
      </c>
      <c r="D57">
        <v>-51.407978035144517</v>
      </c>
      <c r="F57">
        <v>-2.4341548486233667E-4</v>
      </c>
      <c r="G57">
        <v>-1.3387851667428518E-4</v>
      </c>
      <c r="H57">
        <v>-3.681659208542843E-5</v>
      </c>
    </row>
    <row r="58" spans="1:8" x14ac:dyDescent="0.2">
      <c r="A58">
        <v>0.56000000000000005</v>
      </c>
      <c r="B58">
        <v>-339.88745808360005</v>
      </c>
      <c r="C58">
        <v>-190.33697652681604</v>
      </c>
      <c r="D58">
        <v>-53.294353427508497</v>
      </c>
      <c r="F58">
        <v>-2.4341548486233667E-4</v>
      </c>
      <c r="G58">
        <v>-1.3631267152290855E-4</v>
      </c>
      <c r="H58">
        <v>-3.8167548026414399E-5</v>
      </c>
    </row>
    <row r="59" spans="1:8" x14ac:dyDescent="0.2">
      <c r="A59">
        <v>0.56999999999999995</v>
      </c>
      <c r="B59">
        <v>-339.88745808360005</v>
      </c>
      <c r="C59">
        <v>-193.73585110765202</v>
      </c>
      <c r="D59">
        <v>-55.214717565680822</v>
      </c>
      <c r="F59">
        <v>-2.4341548486233667E-4</v>
      </c>
      <c r="G59">
        <v>-1.3874682637153192E-4</v>
      </c>
      <c r="H59">
        <v>-3.9542845515886589E-5</v>
      </c>
    </row>
    <row r="60" spans="1:8" x14ac:dyDescent="0.2">
      <c r="A60">
        <v>0.57999999999999996</v>
      </c>
      <c r="B60">
        <v>-339.88745808360005</v>
      </c>
      <c r="C60">
        <v>-197.134725688488</v>
      </c>
      <c r="D60">
        <v>-57.169070449661525</v>
      </c>
      <c r="F60">
        <v>-2.4341548486233667E-4</v>
      </c>
      <c r="G60">
        <v>-1.4118098122015526E-4</v>
      </c>
      <c r="H60">
        <v>-4.0942484553845028E-5</v>
      </c>
    </row>
    <row r="61" spans="1:8" x14ac:dyDescent="0.2">
      <c r="A61">
        <v>0.59</v>
      </c>
      <c r="B61">
        <v>-339.88745808360005</v>
      </c>
      <c r="C61">
        <v>-200.53360026932401</v>
      </c>
      <c r="D61">
        <v>-59.15741207945058</v>
      </c>
      <c r="F61">
        <v>-2.4341548486233667E-4</v>
      </c>
      <c r="G61">
        <v>-1.4361513606877863E-4</v>
      </c>
      <c r="H61">
        <v>-4.2366465140289696E-5</v>
      </c>
    </row>
    <row r="62" spans="1:8" x14ac:dyDescent="0.2">
      <c r="A62">
        <v>0.6</v>
      </c>
      <c r="B62">
        <v>-339.88745808360005</v>
      </c>
      <c r="C62">
        <v>-203.93247485016002</v>
      </c>
      <c r="D62">
        <v>-61.179742455048007</v>
      </c>
      <c r="F62">
        <v>-2.4341548486233667E-4</v>
      </c>
      <c r="G62">
        <v>-1.46049290917402E-4</v>
      </c>
      <c r="H62">
        <v>-4.3814787275220599E-5</v>
      </c>
    </row>
    <row r="63" spans="1:8" x14ac:dyDescent="0.2">
      <c r="A63">
        <v>0.61</v>
      </c>
      <c r="B63">
        <v>-339.88745808360005</v>
      </c>
      <c r="C63">
        <v>-207.33134943099603</v>
      </c>
      <c r="D63">
        <v>-63.236061576453785</v>
      </c>
      <c r="F63">
        <v>-2.4341548486233667E-4</v>
      </c>
      <c r="G63">
        <v>-1.4848344576602536E-4</v>
      </c>
      <c r="H63">
        <v>-4.5287450958637737E-5</v>
      </c>
    </row>
    <row r="64" spans="1:8" x14ac:dyDescent="0.2">
      <c r="A64">
        <v>0.62</v>
      </c>
      <c r="B64">
        <v>-339.88745808360005</v>
      </c>
      <c r="C64">
        <v>-210.73022401183204</v>
      </c>
      <c r="D64">
        <v>-65.326369443667929</v>
      </c>
      <c r="F64">
        <v>-2.4341548486233667E-4</v>
      </c>
      <c r="G64">
        <v>-1.5091760061464873E-4</v>
      </c>
      <c r="H64">
        <v>-4.678445619054111E-5</v>
      </c>
    </row>
    <row r="65" spans="1:8" x14ac:dyDescent="0.2">
      <c r="A65">
        <v>0.63</v>
      </c>
      <c r="B65">
        <v>-339.88745808360005</v>
      </c>
      <c r="C65">
        <v>-214.12909859266804</v>
      </c>
      <c r="D65">
        <v>-67.450666056690437</v>
      </c>
      <c r="F65">
        <v>-2.4341548486233667E-4</v>
      </c>
      <c r="G65">
        <v>-1.533517554632721E-4</v>
      </c>
      <c r="H65">
        <v>-4.8305802970930719E-5</v>
      </c>
    </row>
    <row r="66" spans="1:8" x14ac:dyDescent="0.2">
      <c r="A66">
        <v>0.64</v>
      </c>
      <c r="B66">
        <v>-339.88745808360005</v>
      </c>
      <c r="C66">
        <v>-217.52797317350405</v>
      </c>
      <c r="D66">
        <v>-69.60895141552129</v>
      </c>
      <c r="F66">
        <v>-2.4341548486233667E-4</v>
      </c>
      <c r="G66">
        <v>-1.557859103118955E-4</v>
      </c>
      <c r="H66">
        <v>-4.985149129980655E-5</v>
      </c>
    </row>
    <row r="67" spans="1:8" x14ac:dyDescent="0.2">
      <c r="A67">
        <v>0.65</v>
      </c>
      <c r="B67">
        <v>-339.88745808360005</v>
      </c>
      <c r="C67">
        <v>-220.92684775434003</v>
      </c>
      <c r="D67">
        <v>-71.801225520160514</v>
      </c>
      <c r="F67">
        <v>-2.4341548486233667E-4</v>
      </c>
      <c r="G67">
        <v>-1.5822006516051884E-4</v>
      </c>
      <c r="H67">
        <v>-5.1421521177168623E-5</v>
      </c>
    </row>
    <row r="68" spans="1:8" x14ac:dyDescent="0.2">
      <c r="A68">
        <v>0.66</v>
      </c>
      <c r="B68">
        <v>-339.88745808360005</v>
      </c>
      <c r="C68">
        <v>-224.32572233517604</v>
      </c>
      <c r="D68">
        <v>-74.027488370608097</v>
      </c>
      <c r="F68">
        <v>-2.4341548486233667E-4</v>
      </c>
      <c r="G68">
        <v>-1.6065422000914221E-4</v>
      </c>
      <c r="H68">
        <v>-5.3015892603016931E-5</v>
      </c>
    </row>
    <row r="69" spans="1:8" x14ac:dyDescent="0.2">
      <c r="A69">
        <v>0.67</v>
      </c>
      <c r="B69">
        <v>-339.88745808360005</v>
      </c>
      <c r="C69">
        <v>-227.72459691601205</v>
      </c>
      <c r="D69">
        <v>-76.287739966864038</v>
      </c>
      <c r="F69">
        <v>-2.4341548486233667E-4</v>
      </c>
      <c r="G69">
        <v>-1.6308837485776558E-4</v>
      </c>
      <c r="H69">
        <v>-5.4634605577351474E-5</v>
      </c>
    </row>
    <row r="70" spans="1:8" x14ac:dyDescent="0.2">
      <c r="A70">
        <v>0.68</v>
      </c>
      <c r="B70">
        <v>-339.88745808360005</v>
      </c>
      <c r="C70">
        <v>-231.12347149684805</v>
      </c>
      <c r="D70">
        <v>-78.581980308928351</v>
      </c>
      <c r="F70">
        <v>-2.4341548486233667E-4</v>
      </c>
      <c r="G70">
        <v>-1.6552252970638895E-4</v>
      </c>
      <c r="H70">
        <v>-5.6277660100172253E-5</v>
      </c>
    </row>
    <row r="71" spans="1:8" x14ac:dyDescent="0.2">
      <c r="A71">
        <v>0.69</v>
      </c>
      <c r="B71">
        <v>-339.88745808360005</v>
      </c>
      <c r="C71">
        <v>-234.52234607768401</v>
      </c>
      <c r="D71">
        <v>-80.91020939680098</v>
      </c>
      <c r="F71">
        <v>-2.4341548486233667E-4</v>
      </c>
      <c r="G71">
        <v>-1.6795668455501229E-4</v>
      </c>
      <c r="H71">
        <v>-5.794505617147924E-5</v>
      </c>
    </row>
    <row r="72" spans="1:8" x14ac:dyDescent="0.2">
      <c r="A72">
        <v>0.7</v>
      </c>
      <c r="B72">
        <v>-339.88745808360005</v>
      </c>
      <c r="C72">
        <v>-237.92122065852001</v>
      </c>
      <c r="D72">
        <v>-83.272427230481995</v>
      </c>
      <c r="F72">
        <v>-2.4341548486233667E-4</v>
      </c>
      <c r="G72">
        <v>-1.7039083940363566E-4</v>
      </c>
      <c r="H72">
        <v>-5.9636793791272476E-5</v>
      </c>
    </row>
    <row r="73" spans="1:8" x14ac:dyDescent="0.2">
      <c r="A73">
        <v>0.71</v>
      </c>
      <c r="B73">
        <v>-339.88745808360005</v>
      </c>
      <c r="C73">
        <v>-241.32009523935602</v>
      </c>
      <c r="D73">
        <v>-85.668633809971396</v>
      </c>
      <c r="F73">
        <v>-2.4341548486233667E-4</v>
      </c>
      <c r="G73">
        <v>-1.7282499425225903E-4</v>
      </c>
      <c r="H73">
        <v>-6.1352872959551967E-5</v>
      </c>
    </row>
    <row r="74" spans="1:8" x14ac:dyDescent="0.2">
      <c r="A74">
        <v>0.72</v>
      </c>
      <c r="B74">
        <v>-339.88745808360005</v>
      </c>
      <c r="C74">
        <v>-244.71896982019203</v>
      </c>
      <c r="D74">
        <v>-88.098829135269128</v>
      </c>
      <c r="F74">
        <v>-2.4341548486233667E-4</v>
      </c>
      <c r="G74">
        <v>-1.7525914910088239E-4</v>
      </c>
      <c r="H74">
        <v>-6.3093293676317667E-5</v>
      </c>
    </row>
    <row r="75" spans="1:8" x14ac:dyDescent="0.2">
      <c r="A75">
        <v>0.73</v>
      </c>
      <c r="B75">
        <v>-339.88745808360005</v>
      </c>
      <c r="C75">
        <v>-248.11784440102804</v>
      </c>
      <c r="D75">
        <v>-90.563013206375217</v>
      </c>
      <c r="F75">
        <v>-2.4341548486233667E-4</v>
      </c>
      <c r="G75">
        <v>-1.7769330394950576E-4</v>
      </c>
      <c r="H75">
        <v>-6.4858055941569595E-5</v>
      </c>
    </row>
    <row r="76" spans="1:8" x14ac:dyDescent="0.2">
      <c r="A76">
        <v>0.74</v>
      </c>
      <c r="B76">
        <v>-339.88745808360005</v>
      </c>
      <c r="C76">
        <v>-251.51671898186405</v>
      </c>
      <c r="D76">
        <v>-93.061186023289693</v>
      </c>
      <c r="F76">
        <v>-2.4341548486233667E-4</v>
      </c>
      <c r="G76">
        <v>-1.8012745879812916E-4</v>
      </c>
      <c r="H76">
        <v>-6.6647159755307779E-5</v>
      </c>
    </row>
    <row r="77" spans="1:8" x14ac:dyDescent="0.2">
      <c r="A77">
        <v>0.75</v>
      </c>
      <c r="B77">
        <v>-339.88745808360005</v>
      </c>
      <c r="C77">
        <v>-254.91559356270005</v>
      </c>
      <c r="D77">
        <v>-95.593347586012513</v>
      </c>
      <c r="F77">
        <v>-2.4341548486233667E-4</v>
      </c>
      <c r="G77">
        <v>-1.8256161364675253E-4</v>
      </c>
      <c r="H77">
        <v>-6.8460605117532191E-5</v>
      </c>
    </row>
    <row r="78" spans="1:8" x14ac:dyDescent="0.2">
      <c r="A78">
        <v>0.76</v>
      </c>
      <c r="B78">
        <v>-339.88745808360005</v>
      </c>
      <c r="C78">
        <v>-258.31446814353603</v>
      </c>
      <c r="D78">
        <v>-98.159497894543691</v>
      </c>
      <c r="F78">
        <v>-2.4341548486233667E-4</v>
      </c>
      <c r="G78">
        <v>-1.8499576849537587E-4</v>
      </c>
      <c r="H78">
        <v>-7.0298392028242832E-5</v>
      </c>
    </row>
    <row r="79" spans="1:8" x14ac:dyDescent="0.2">
      <c r="A79">
        <v>0.77</v>
      </c>
      <c r="B79">
        <v>-339.88745808360005</v>
      </c>
      <c r="C79">
        <v>-261.71334272437207</v>
      </c>
      <c r="D79">
        <v>-100.75963694888323</v>
      </c>
      <c r="F79">
        <v>-2.4341548486233667E-4</v>
      </c>
      <c r="G79">
        <v>-1.8742992334399927E-4</v>
      </c>
      <c r="H79">
        <v>-7.2160520487439702E-5</v>
      </c>
    </row>
    <row r="80" spans="1:8" x14ac:dyDescent="0.2">
      <c r="A80">
        <v>0.78</v>
      </c>
      <c r="B80">
        <v>-339.88745808360005</v>
      </c>
      <c r="C80">
        <v>-265.11221730520805</v>
      </c>
      <c r="D80">
        <v>-103.39376474903115</v>
      </c>
      <c r="F80">
        <v>-2.4341548486233667E-4</v>
      </c>
      <c r="G80">
        <v>-1.8986407819262261E-4</v>
      </c>
      <c r="H80">
        <v>-7.4046990495122827E-5</v>
      </c>
    </row>
    <row r="81" spans="1:8" x14ac:dyDescent="0.2">
      <c r="A81">
        <v>0.79</v>
      </c>
      <c r="B81">
        <v>-339.88745808360005</v>
      </c>
      <c r="C81">
        <v>-268.51109188604403</v>
      </c>
      <c r="D81">
        <v>-106.06188129498742</v>
      </c>
      <c r="F81">
        <v>-2.4341548486233667E-4</v>
      </c>
      <c r="G81">
        <v>-1.9229823304124598E-4</v>
      </c>
      <c r="H81">
        <v>-7.595780205129218E-5</v>
      </c>
    </row>
    <row r="82" spans="1:8" x14ac:dyDescent="0.2">
      <c r="A82">
        <v>0.8</v>
      </c>
      <c r="B82">
        <v>-339.88745808360005</v>
      </c>
      <c r="C82">
        <v>-271.90996646688006</v>
      </c>
      <c r="D82">
        <v>-108.76398658675204</v>
      </c>
      <c r="F82">
        <v>-2.4341548486233667E-4</v>
      </c>
      <c r="G82">
        <v>-1.9473238788986935E-4</v>
      </c>
      <c r="H82">
        <v>-7.7892955155947749E-5</v>
      </c>
    </row>
    <row r="83" spans="1:8" x14ac:dyDescent="0.2">
      <c r="A83">
        <v>0.81</v>
      </c>
      <c r="B83">
        <v>-339.88745808360005</v>
      </c>
      <c r="C83">
        <v>-275.30884104771604</v>
      </c>
      <c r="D83">
        <v>-111.50008062432502</v>
      </c>
      <c r="F83">
        <v>-2.4341548486233667E-4</v>
      </c>
      <c r="G83">
        <v>-1.9716654273849271E-4</v>
      </c>
      <c r="H83">
        <v>-7.985244980908956E-5</v>
      </c>
    </row>
    <row r="84" spans="1:8" x14ac:dyDescent="0.2">
      <c r="A84">
        <v>0.82</v>
      </c>
      <c r="B84">
        <v>-339.88745808360005</v>
      </c>
      <c r="C84">
        <v>-278.70771562855202</v>
      </c>
      <c r="D84">
        <v>-114.27016340770632</v>
      </c>
      <c r="F84">
        <v>-2.4341548486233667E-4</v>
      </c>
      <c r="G84">
        <v>-1.9960069758711606E-4</v>
      </c>
      <c r="H84">
        <v>-8.1836286010717585E-5</v>
      </c>
    </row>
    <row r="85" spans="1:8" x14ac:dyDescent="0.2">
      <c r="A85">
        <v>0.83</v>
      </c>
      <c r="B85">
        <v>-339.88745808360005</v>
      </c>
      <c r="C85">
        <v>-282.106590209388</v>
      </c>
      <c r="D85">
        <v>-117.07423493689603</v>
      </c>
      <c r="F85">
        <v>-2.4341548486233667E-4</v>
      </c>
      <c r="G85">
        <v>-2.0203485243573942E-4</v>
      </c>
      <c r="H85">
        <v>-8.3844463760831867E-5</v>
      </c>
    </row>
    <row r="86" spans="1:8" x14ac:dyDescent="0.2">
      <c r="A86">
        <v>0.84</v>
      </c>
      <c r="B86">
        <v>-339.88745808360005</v>
      </c>
      <c r="C86">
        <v>-285.50546479022404</v>
      </c>
      <c r="D86">
        <v>-119.91229521189408</v>
      </c>
      <c r="F86">
        <v>-2.4341548486233667E-4</v>
      </c>
      <c r="G86">
        <v>-2.0446900728436279E-4</v>
      </c>
      <c r="H86">
        <v>-8.5876983059432363E-5</v>
      </c>
    </row>
    <row r="87" spans="1:8" x14ac:dyDescent="0.2">
      <c r="A87">
        <v>0.85</v>
      </c>
      <c r="B87">
        <v>-339.88745808360005</v>
      </c>
      <c r="C87">
        <v>-288.90433937106002</v>
      </c>
      <c r="D87">
        <v>-122.78434423270051</v>
      </c>
      <c r="F87">
        <v>-2.4341548486233667E-4</v>
      </c>
      <c r="G87">
        <v>-2.0690316213298616E-4</v>
      </c>
      <c r="H87">
        <v>-8.7933843906519115E-5</v>
      </c>
    </row>
    <row r="88" spans="1:8" x14ac:dyDescent="0.2">
      <c r="A88">
        <v>0.86</v>
      </c>
      <c r="B88">
        <v>-339.88745808360005</v>
      </c>
      <c r="C88">
        <v>-292.30321395189605</v>
      </c>
      <c r="D88">
        <v>-125.69038199931529</v>
      </c>
      <c r="F88">
        <v>-2.4341548486233667E-4</v>
      </c>
      <c r="G88">
        <v>-2.0933731698160956E-4</v>
      </c>
      <c r="H88">
        <v>-9.0015046302092095E-5</v>
      </c>
    </row>
    <row r="89" spans="1:8" x14ac:dyDescent="0.2">
      <c r="A89">
        <v>0.87</v>
      </c>
      <c r="B89">
        <v>-339.88745808360005</v>
      </c>
      <c r="C89">
        <v>-295.70208853273203</v>
      </c>
      <c r="D89">
        <v>-128.63040851173844</v>
      </c>
      <c r="F89">
        <v>-2.4341548486233667E-4</v>
      </c>
      <c r="G89">
        <v>-2.117714718302329E-4</v>
      </c>
      <c r="H89">
        <v>-9.2120590246151318E-5</v>
      </c>
    </row>
    <row r="90" spans="1:8" x14ac:dyDescent="0.2">
      <c r="A90">
        <v>0.88</v>
      </c>
      <c r="B90">
        <v>-339.88745808360005</v>
      </c>
      <c r="C90">
        <v>-299.10096311356807</v>
      </c>
      <c r="D90">
        <v>-131.60442376996994</v>
      </c>
      <c r="F90">
        <v>-2.4341548486233667E-4</v>
      </c>
      <c r="G90">
        <v>-2.142056266788563E-4</v>
      </c>
      <c r="H90">
        <v>-9.4250475738696756E-5</v>
      </c>
    </row>
    <row r="91" spans="1:8" x14ac:dyDescent="0.2">
      <c r="A91">
        <v>0.89</v>
      </c>
      <c r="B91">
        <v>-339.88745808360005</v>
      </c>
      <c r="C91">
        <v>-302.49983769440405</v>
      </c>
      <c r="D91">
        <v>-134.6124277740098</v>
      </c>
      <c r="F91">
        <v>-2.4341548486233667E-4</v>
      </c>
      <c r="G91">
        <v>-2.1663978152747964E-4</v>
      </c>
      <c r="H91">
        <v>-9.6404702779728449E-5</v>
      </c>
    </row>
    <row r="92" spans="1:8" x14ac:dyDescent="0.2">
      <c r="A92">
        <v>0.9</v>
      </c>
      <c r="B92">
        <v>-339.88745808360005</v>
      </c>
      <c r="C92">
        <v>-305.89871227524003</v>
      </c>
      <c r="D92">
        <v>-137.65442052385802</v>
      </c>
      <c r="F92">
        <v>-2.4341548486233667E-4</v>
      </c>
      <c r="G92">
        <v>-2.1907393637610301E-4</v>
      </c>
      <c r="H92">
        <v>-9.8583271369246357E-5</v>
      </c>
    </row>
    <row r="93" spans="1:8" x14ac:dyDescent="0.2">
      <c r="A93">
        <v>0.91</v>
      </c>
      <c r="B93">
        <v>-339.88745808360005</v>
      </c>
      <c r="C93">
        <v>-309.29758685607607</v>
      </c>
      <c r="D93">
        <v>-140.7304020195146</v>
      </c>
      <c r="F93">
        <v>-2.4341548486233667E-4</v>
      </c>
      <c r="G93">
        <v>-2.215080912247264E-4</v>
      </c>
      <c r="H93">
        <v>-1.0078618150725049E-4</v>
      </c>
    </row>
    <row r="94" spans="1:8" x14ac:dyDescent="0.2">
      <c r="A94">
        <v>0.92</v>
      </c>
      <c r="B94">
        <v>-339.88745808360005</v>
      </c>
      <c r="C94">
        <v>-312.69646143691205</v>
      </c>
      <c r="D94">
        <v>-143.84037226097954</v>
      </c>
      <c r="F94">
        <v>-2.4341548486233667E-4</v>
      </c>
      <c r="G94">
        <v>-2.2394224607334974E-4</v>
      </c>
      <c r="H94">
        <v>-1.0301343319374087E-4</v>
      </c>
    </row>
    <row r="95" spans="1:8" x14ac:dyDescent="0.2">
      <c r="A95">
        <v>0.93</v>
      </c>
      <c r="B95">
        <v>-339.88745808360005</v>
      </c>
      <c r="C95">
        <v>-316.09533601774808</v>
      </c>
      <c r="D95">
        <v>-146.98433124825286</v>
      </c>
      <c r="F95">
        <v>-2.4341548486233667E-4</v>
      </c>
      <c r="G95">
        <v>-2.2637640092197314E-4</v>
      </c>
      <c r="H95">
        <v>-1.0526502642871751E-4</v>
      </c>
    </row>
    <row r="96" spans="1:8" x14ac:dyDescent="0.2">
      <c r="A96">
        <v>0.94</v>
      </c>
      <c r="B96">
        <v>-339.88745808360005</v>
      </c>
      <c r="C96">
        <v>-319.494210598584</v>
      </c>
      <c r="D96">
        <v>-150.16227898133448</v>
      </c>
      <c r="F96">
        <v>-2.4341548486233667E-4</v>
      </c>
      <c r="G96">
        <v>-2.2881055577059645E-4</v>
      </c>
      <c r="H96">
        <v>-1.0754096121218033E-4</v>
      </c>
    </row>
    <row r="97" spans="1:8" x14ac:dyDescent="0.2">
      <c r="A97">
        <v>0.95</v>
      </c>
      <c r="B97">
        <v>-339.88745808360005</v>
      </c>
      <c r="C97">
        <v>-322.89308517942004</v>
      </c>
      <c r="D97">
        <v>-153.37421546022452</v>
      </c>
      <c r="F97">
        <v>-2.4341548486233667E-4</v>
      </c>
      <c r="G97">
        <v>-2.3124471061921985E-4</v>
      </c>
      <c r="H97">
        <v>-1.0984123754412942E-4</v>
      </c>
    </row>
    <row r="98" spans="1:8" x14ac:dyDescent="0.2">
      <c r="A98">
        <v>0.96</v>
      </c>
      <c r="B98">
        <v>-339.88745808360005</v>
      </c>
      <c r="C98">
        <v>-326.29195976025602</v>
      </c>
      <c r="D98">
        <v>-156.62014068492289</v>
      </c>
      <c r="F98">
        <v>-2.4341548486233667E-4</v>
      </c>
      <c r="G98">
        <v>-2.3367886546784319E-4</v>
      </c>
      <c r="H98">
        <v>-1.1216585542456473E-4</v>
      </c>
    </row>
    <row r="99" spans="1:8" x14ac:dyDescent="0.2">
      <c r="A99">
        <v>0.97</v>
      </c>
      <c r="B99">
        <v>-339.88745808360005</v>
      </c>
      <c r="C99">
        <v>-329.69083434109206</v>
      </c>
      <c r="D99">
        <v>-159.90005465542964</v>
      </c>
      <c r="F99">
        <v>-2.4341548486233667E-4</v>
      </c>
      <c r="G99">
        <v>-2.3611302031646659E-4</v>
      </c>
      <c r="H99">
        <v>-1.1451481485348629E-4</v>
      </c>
    </row>
    <row r="100" spans="1:8" x14ac:dyDescent="0.2">
      <c r="A100">
        <v>0.98</v>
      </c>
      <c r="B100">
        <v>-339.88745808360005</v>
      </c>
      <c r="C100">
        <v>-333.08970892192804</v>
      </c>
      <c r="D100">
        <v>-163.21395737174473</v>
      </c>
      <c r="F100">
        <v>-2.4341548486233667E-4</v>
      </c>
      <c r="G100">
        <v>-2.3854717516508993E-4</v>
      </c>
      <c r="H100">
        <v>-1.1688811583089405E-4</v>
      </c>
    </row>
    <row r="101" spans="1:8" x14ac:dyDescent="0.2">
      <c r="A101">
        <v>0.99</v>
      </c>
      <c r="B101">
        <v>-339.88745808360005</v>
      </c>
      <c r="C101">
        <v>-336.48858350276407</v>
      </c>
      <c r="D101">
        <v>-166.5618488338682</v>
      </c>
      <c r="F101">
        <v>-2.4341548486233667E-4</v>
      </c>
      <c r="G101">
        <v>-2.4098133001371333E-4</v>
      </c>
      <c r="H101">
        <v>-1.1928575835678809E-4</v>
      </c>
    </row>
    <row r="102" spans="1:8" x14ac:dyDescent="0.2">
      <c r="A102">
        <v>1</v>
      </c>
      <c r="B102">
        <v>-339.88745808360005</v>
      </c>
      <c r="C102">
        <v>-339.88745808360005</v>
      </c>
      <c r="D102">
        <v>-169.94372904180003</v>
      </c>
      <c r="F102">
        <v>-2.4341548486233667E-4</v>
      </c>
      <c r="G102">
        <v>-2.4341548486233667E-4</v>
      </c>
      <c r="H102">
        <v>-1.2170774243116833E-4</v>
      </c>
    </row>
    <row r="103" spans="1:8" x14ac:dyDescent="0.2">
      <c r="A103">
        <v>1.01</v>
      </c>
      <c r="B103">
        <v>-339.88745808360005</v>
      </c>
      <c r="C103">
        <v>-343.28633266443603</v>
      </c>
      <c r="D103">
        <v>-173.35959799554021</v>
      </c>
      <c r="F103">
        <v>-2.4341548486233667E-4</v>
      </c>
      <c r="G103">
        <v>-2.4584963971096001E-4</v>
      </c>
      <c r="H103">
        <v>-1.2415406805403484E-4</v>
      </c>
    </row>
    <row r="104" spans="1:8" x14ac:dyDescent="0.2">
      <c r="A104">
        <v>1.02</v>
      </c>
      <c r="B104">
        <v>-339.88745808360005</v>
      </c>
      <c r="C104">
        <v>-346.68520724527207</v>
      </c>
      <c r="D104">
        <v>-176.80945569508876</v>
      </c>
      <c r="F104">
        <v>-2.4341548486233667E-4</v>
      </c>
      <c r="G104">
        <v>-2.4828379455958341E-4</v>
      </c>
      <c r="H104">
        <v>-1.2662473522538756E-4</v>
      </c>
    </row>
    <row r="105" spans="1:8" x14ac:dyDescent="0.2">
      <c r="A105">
        <v>1.03</v>
      </c>
      <c r="B105">
        <v>-339.88745808360005</v>
      </c>
      <c r="C105">
        <v>-350.08408182610805</v>
      </c>
      <c r="D105">
        <v>-180.29330214044563</v>
      </c>
      <c r="F105">
        <v>-2.4341548486233667E-4</v>
      </c>
      <c r="G105">
        <v>-2.5071794940820675E-4</v>
      </c>
      <c r="H105">
        <v>-1.2911974394522649E-4</v>
      </c>
    </row>
    <row r="106" spans="1:8" x14ac:dyDescent="0.2">
      <c r="A106">
        <v>1.04</v>
      </c>
      <c r="B106">
        <v>-339.88745808360005</v>
      </c>
      <c r="C106">
        <v>-353.48295640694408</v>
      </c>
      <c r="D106">
        <v>-183.81113733161092</v>
      </c>
      <c r="F106">
        <v>-2.4341548486233667E-4</v>
      </c>
      <c r="G106">
        <v>-2.5315210425683014E-4</v>
      </c>
      <c r="H106">
        <v>-1.3163909421355169E-4</v>
      </c>
    </row>
    <row r="107" spans="1:8" x14ac:dyDescent="0.2">
      <c r="A107">
        <v>1.05</v>
      </c>
      <c r="B107">
        <v>-339.88745808360005</v>
      </c>
      <c r="C107">
        <v>-356.88183098778006</v>
      </c>
      <c r="D107">
        <v>-187.36296126858454</v>
      </c>
      <c r="F107">
        <v>-2.4341548486233667E-4</v>
      </c>
      <c r="G107">
        <v>-2.5558625910545354E-4</v>
      </c>
      <c r="H107">
        <v>-1.3418278603036311E-4</v>
      </c>
    </row>
    <row r="108" spans="1:8" x14ac:dyDescent="0.2">
      <c r="A108">
        <v>1.06</v>
      </c>
      <c r="B108">
        <v>-339.88745808360005</v>
      </c>
      <c r="C108">
        <v>-360.2807055686161</v>
      </c>
      <c r="D108">
        <v>-190.94877395136655</v>
      </c>
      <c r="F108">
        <v>-2.4341548486233667E-4</v>
      </c>
      <c r="G108">
        <v>-2.5802041395407694E-4</v>
      </c>
      <c r="H108">
        <v>-1.3675081939566077E-4</v>
      </c>
    </row>
    <row r="109" spans="1:8" x14ac:dyDescent="0.2">
      <c r="A109">
        <v>1.07</v>
      </c>
      <c r="B109">
        <v>-339.88745808360005</v>
      </c>
      <c r="C109">
        <v>-363.67958014945208</v>
      </c>
      <c r="D109">
        <v>-194.56857537995685</v>
      </c>
      <c r="F109">
        <v>-2.4341548486233667E-4</v>
      </c>
      <c r="G109">
        <v>-2.6045456880270028E-4</v>
      </c>
      <c r="H109">
        <v>-1.3934319430944464E-4</v>
      </c>
    </row>
    <row r="110" spans="1:8" x14ac:dyDescent="0.2">
      <c r="A110">
        <v>1.08</v>
      </c>
      <c r="B110">
        <v>-339.88745808360005</v>
      </c>
      <c r="C110">
        <v>-367.07845473028806</v>
      </c>
      <c r="D110">
        <v>-198.22236555435558</v>
      </c>
      <c r="F110">
        <v>-2.4341548486233667E-4</v>
      </c>
      <c r="G110">
        <v>-2.6288872365132362E-4</v>
      </c>
      <c r="H110">
        <v>-1.4195991077171476E-4</v>
      </c>
    </row>
    <row r="111" spans="1:8" x14ac:dyDescent="0.2">
      <c r="A111">
        <v>1.0900000000000001</v>
      </c>
      <c r="B111">
        <v>-339.88745808360005</v>
      </c>
      <c r="C111">
        <v>-370.47732931112409</v>
      </c>
      <c r="D111">
        <v>-201.91014447456263</v>
      </c>
      <c r="F111">
        <v>-2.4341548486233667E-4</v>
      </c>
      <c r="G111">
        <v>-2.6532287849994701E-4</v>
      </c>
      <c r="H111">
        <v>-1.4460096878247112E-4</v>
      </c>
    </row>
    <row r="112" spans="1:8" x14ac:dyDescent="0.2">
      <c r="A112">
        <v>1.1000000000000001</v>
      </c>
      <c r="B112">
        <v>-339.88745808360005</v>
      </c>
      <c r="C112">
        <v>-373.87620389196007</v>
      </c>
      <c r="D112">
        <v>-205.63191214057807</v>
      </c>
      <c r="F112">
        <v>-2.4341548486233667E-4</v>
      </c>
      <c r="G112">
        <v>-2.6775703334857036E-4</v>
      </c>
      <c r="H112">
        <v>-1.4726636834171372E-4</v>
      </c>
    </row>
    <row r="113" spans="1:8" x14ac:dyDescent="0.2">
      <c r="A113">
        <v>1.1100000000000001</v>
      </c>
      <c r="B113">
        <v>-339.88745808360005</v>
      </c>
      <c r="C113">
        <v>-377.27507847279611</v>
      </c>
      <c r="D113">
        <v>-209.38766855240183</v>
      </c>
      <c r="F113">
        <v>-2.4341548486233667E-4</v>
      </c>
      <c r="G113">
        <v>-2.7019118819719375E-4</v>
      </c>
      <c r="H113">
        <v>-1.4995610944944254E-4</v>
      </c>
    </row>
    <row r="114" spans="1:8" x14ac:dyDescent="0.2">
      <c r="A114">
        <v>1.1200000000000001</v>
      </c>
      <c r="B114">
        <v>-339.88745808360005</v>
      </c>
      <c r="C114">
        <v>-380.67395305363209</v>
      </c>
      <c r="D114">
        <v>-213.17741371003399</v>
      </c>
      <c r="F114">
        <v>-2.4341548486233667E-4</v>
      </c>
      <c r="G114">
        <v>-2.7262534304581709E-4</v>
      </c>
      <c r="H114">
        <v>-1.5267019210565759E-4</v>
      </c>
    </row>
    <row r="115" spans="1:8" x14ac:dyDescent="0.2">
      <c r="A115">
        <v>1.1299999999999999</v>
      </c>
      <c r="B115">
        <v>-339.88745808360005</v>
      </c>
      <c r="C115">
        <v>-384.07282763446801</v>
      </c>
      <c r="D115">
        <v>-217.00114761347442</v>
      </c>
      <c r="F115">
        <v>-2.4341548486233667E-4</v>
      </c>
      <c r="G115">
        <v>-2.7505949789444044E-4</v>
      </c>
      <c r="H115">
        <v>-1.5540861631035881E-4</v>
      </c>
    </row>
    <row r="116" spans="1:8" x14ac:dyDescent="0.2">
      <c r="A116">
        <v>1.1399999999999999</v>
      </c>
      <c r="B116">
        <v>-339.88745808360005</v>
      </c>
      <c r="C116">
        <v>-387.47170221530405</v>
      </c>
      <c r="D116">
        <v>-220.85887026272329</v>
      </c>
      <c r="F116">
        <v>-2.4341548486233667E-4</v>
      </c>
      <c r="G116">
        <v>-2.7749365274306383E-4</v>
      </c>
      <c r="H116">
        <v>-1.5817138206354636E-4</v>
      </c>
    </row>
    <row r="117" spans="1:8" x14ac:dyDescent="0.2">
      <c r="A117">
        <v>1.1499999999999999</v>
      </c>
      <c r="B117">
        <v>-339.88745808360005</v>
      </c>
      <c r="C117">
        <v>-390.87057679614003</v>
      </c>
      <c r="D117">
        <v>-224.75058165778049</v>
      </c>
      <c r="F117">
        <v>-2.4341548486233667E-4</v>
      </c>
      <c r="G117">
        <v>-2.7992780759168717E-4</v>
      </c>
      <c r="H117">
        <v>-1.6095848936522009E-4</v>
      </c>
    </row>
    <row r="118" spans="1:8" x14ac:dyDescent="0.2">
      <c r="A118">
        <v>1.1599999999999999</v>
      </c>
      <c r="B118">
        <v>-339.88745808360005</v>
      </c>
      <c r="C118">
        <v>-394.26945137697601</v>
      </c>
      <c r="D118">
        <v>-228.6762817986461</v>
      </c>
      <c r="F118">
        <v>-2.4341548486233667E-4</v>
      </c>
      <c r="G118">
        <v>-2.8236196244031052E-4</v>
      </c>
      <c r="H118">
        <v>-1.6376993821538011E-4</v>
      </c>
    </row>
    <row r="119" spans="1:8" x14ac:dyDescent="0.2">
      <c r="A119">
        <v>1.17</v>
      </c>
      <c r="B119">
        <v>-339.88745808360005</v>
      </c>
      <c r="C119">
        <v>-397.66832595781204</v>
      </c>
      <c r="D119">
        <v>-232.63597068532002</v>
      </c>
      <c r="F119">
        <v>-2.4341548486233667E-4</v>
      </c>
      <c r="G119">
        <v>-2.8479611728893391E-4</v>
      </c>
      <c r="H119">
        <v>-1.666057286140263E-4</v>
      </c>
    </row>
    <row r="120" spans="1:8" x14ac:dyDescent="0.2">
      <c r="A120">
        <v>1.18</v>
      </c>
      <c r="B120">
        <v>-339.88745808360005</v>
      </c>
      <c r="C120">
        <v>-401.06720053864802</v>
      </c>
      <c r="D120">
        <v>-236.62964831780232</v>
      </c>
      <c r="F120">
        <v>-2.4341548486233667E-4</v>
      </c>
      <c r="G120">
        <v>-2.8723027213755725E-4</v>
      </c>
      <c r="H120">
        <v>-1.6946586056115878E-4</v>
      </c>
    </row>
    <row r="121" spans="1:8" x14ac:dyDescent="0.2">
      <c r="A121">
        <v>1.19</v>
      </c>
      <c r="B121">
        <v>-339.88745808360005</v>
      </c>
      <c r="C121">
        <v>-404.46607511948406</v>
      </c>
      <c r="D121">
        <v>-240.65731469609301</v>
      </c>
      <c r="F121">
        <v>-2.4341548486233667E-4</v>
      </c>
      <c r="G121">
        <v>-2.8966442698618065E-4</v>
      </c>
      <c r="H121">
        <v>-1.7235033405677748E-4</v>
      </c>
    </row>
    <row r="122" spans="1:8" x14ac:dyDescent="0.2">
      <c r="A122">
        <v>1.2</v>
      </c>
      <c r="B122">
        <v>-339.88745808360005</v>
      </c>
      <c r="C122">
        <v>-407.86494970032004</v>
      </c>
      <c r="D122">
        <v>-244.71896982019203</v>
      </c>
      <c r="F122">
        <v>-2.4341548486233667E-4</v>
      </c>
      <c r="G122">
        <v>-2.9209858183480399E-4</v>
      </c>
      <c r="H122">
        <v>-1.7525914910088239E-4</v>
      </c>
    </row>
    <row r="123" spans="1:8" x14ac:dyDescent="0.2">
      <c r="A123">
        <v>1.21</v>
      </c>
      <c r="B123">
        <v>-339.88745808360005</v>
      </c>
      <c r="C123">
        <v>-411.26382428115608</v>
      </c>
      <c r="D123">
        <v>-248.81461369009941</v>
      </c>
      <c r="F123">
        <v>-2.4341548486233667E-4</v>
      </c>
      <c r="G123">
        <v>-2.9453273668342739E-4</v>
      </c>
      <c r="H123">
        <v>-1.7819230569347355E-4</v>
      </c>
    </row>
    <row r="124" spans="1:8" x14ac:dyDescent="0.2">
      <c r="A124">
        <v>1.22</v>
      </c>
      <c r="B124">
        <v>-339.88745808360005</v>
      </c>
      <c r="C124">
        <v>-414.66269886199206</v>
      </c>
      <c r="D124">
        <v>-252.94424630581514</v>
      </c>
      <c r="F124">
        <v>-2.4341548486233667E-4</v>
      </c>
      <c r="G124">
        <v>-2.9696689153205073E-4</v>
      </c>
      <c r="H124">
        <v>-1.8114980383455095E-4</v>
      </c>
    </row>
    <row r="125" spans="1:8" x14ac:dyDescent="0.2">
      <c r="A125">
        <v>1.23</v>
      </c>
      <c r="B125">
        <v>-339.88745808360005</v>
      </c>
      <c r="C125">
        <v>-418.06157344282803</v>
      </c>
      <c r="D125">
        <v>-257.10786766733924</v>
      </c>
      <c r="F125">
        <v>-2.4341548486233667E-4</v>
      </c>
      <c r="G125">
        <v>-2.9940104638067407E-4</v>
      </c>
      <c r="H125">
        <v>-1.8413164352411456E-4</v>
      </c>
    </row>
    <row r="126" spans="1:8" x14ac:dyDescent="0.2">
      <c r="A126">
        <v>1.24</v>
      </c>
      <c r="B126">
        <v>-339.88745808360005</v>
      </c>
      <c r="C126">
        <v>-421.46044802366407</v>
      </c>
      <c r="D126">
        <v>-261.30547777467171</v>
      </c>
      <c r="F126">
        <v>-2.4341548486233667E-4</v>
      </c>
      <c r="G126">
        <v>-3.0183520122929747E-4</v>
      </c>
      <c r="H126">
        <v>-1.8713782476216444E-4</v>
      </c>
    </row>
    <row r="127" spans="1:8" x14ac:dyDescent="0.2">
      <c r="A127">
        <v>1.25</v>
      </c>
      <c r="B127">
        <v>-339.88745808360005</v>
      </c>
      <c r="C127">
        <v>-424.85932260450005</v>
      </c>
      <c r="D127">
        <v>-265.53707662781255</v>
      </c>
      <c r="F127">
        <v>-2.4341548486233667E-4</v>
      </c>
      <c r="G127">
        <v>-3.0426935607792086E-4</v>
      </c>
      <c r="H127">
        <v>-1.9016834754870054E-4</v>
      </c>
    </row>
    <row r="128" spans="1:8" x14ac:dyDescent="0.2">
      <c r="A128">
        <v>1.26</v>
      </c>
      <c r="B128">
        <v>-339.88745808360005</v>
      </c>
      <c r="C128">
        <v>-428.25819718533609</v>
      </c>
      <c r="D128">
        <v>-269.80266422676175</v>
      </c>
      <c r="F128">
        <v>-2.4341548486233667E-4</v>
      </c>
      <c r="G128">
        <v>-3.067035109265442E-4</v>
      </c>
      <c r="H128">
        <v>-1.9322321188372288E-4</v>
      </c>
    </row>
    <row r="129" spans="1:8" x14ac:dyDescent="0.2">
      <c r="A129">
        <v>1.27</v>
      </c>
      <c r="B129">
        <v>-339.88745808360005</v>
      </c>
      <c r="C129">
        <v>-431.65707176617207</v>
      </c>
      <c r="D129">
        <v>-274.10224057151925</v>
      </c>
      <c r="F129">
        <v>-2.4341548486233667E-4</v>
      </c>
      <c r="G129">
        <v>-3.091376657751676E-4</v>
      </c>
      <c r="H129">
        <v>-1.963024177672314E-4</v>
      </c>
    </row>
    <row r="130" spans="1:8" x14ac:dyDescent="0.2">
      <c r="A130">
        <v>1.28</v>
      </c>
      <c r="B130">
        <v>-339.88745808360005</v>
      </c>
      <c r="C130">
        <v>-435.0559463470081</v>
      </c>
      <c r="D130">
        <v>-278.43580566208516</v>
      </c>
      <c r="F130">
        <v>-2.4341548486233667E-4</v>
      </c>
      <c r="G130">
        <v>-3.11571820623791E-4</v>
      </c>
      <c r="H130">
        <v>-1.994059651992262E-4</v>
      </c>
    </row>
    <row r="131" spans="1:8" x14ac:dyDescent="0.2">
      <c r="A131">
        <v>1.29</v>
      </c>
      <c r="B131">
        <v>-339.88745808360005</v>
      </c>
      <c r="C131">
        <v>-438.45482092784408</v>
      </c>
      <c r="D131">
        <v>-282.80335949845943</v>
      </c>
      <c r="F131">
        <v>-2.4341548486233667E-4</v>
      </c>
      <c r="G131">
        <v>-3.1400597547241434E-4</v>
      </c>
      <c r="H131">
        <v>-2.0253385417970724E-4</v>
      </c>
    </row>
    <row r="132" spans="1:8" x14ac:dyDescent="0.2">
      <c r="A132">
        <v>1.3</v>
      </c>
      <c r="B132">
        <v>-339.88745808360005</v>
      </c>
      <c r="C132">
        <v>-441.85369550868006</v>
      </c>
      <c r="D132">
        <v>-287.20490208064206</v>
      </c>
      <c r="F132">
        <v>-2.4341548486233667E-4</v>
      </c>
      <c r="G132">
        <v>-3.1644013032103768E-4</v>
      </c>
      <c r="H132">
        <v>-2.0568608470867449E-4</v>
      </c>
    </row>
    <row r="133" spans="1:8" x14ac:dyDescent="0.2">
      <c r="A133">
        <v>1.31</v>
      </c>
      <c r="B133">
        <v>-339.88745808360005</v>
      </c>
      <c r="C133">
        <v>-445.2525700895161</v>
      </c>
      <c r="D133">
        <v>-291.64043340863304</v>
      </c>
      <c r="F133">
        <v>-2.4341548486233667E-4</v>
      </c>
      <c r="G133">
        <v>-3.1887428516966108E-4</v>
      </c>
      <c r="H133">
        <v>-2.0886265678612799E-4</v>
      </c>
    </row>
    <row r="134" spans="1:8" x14ac:dyDescent="0.2">
      <c r="A134">
        <v>1.32</v>
      </c>
      <c r="B134">
        <v>-339.88745808360005</v>
      </c>
      <c r="C134">
        <v>-448.65144467035208</v>
      </c>
      <c r="D134">
        <v>-296.10995348243239</v>
      </c>
      <c r="F134">
        <v>-2.4341548486233667E-4</v>
      </c>
      <c r="G134">
        <v>-3.2130844001828442E-4</v>
      </c>
      <c r="H134">
        <v>-2.1206357041206772E-4</v>
      </c>
    </row>
    <row r="135" spans="1:8" x14ac:dyDescent="0.2">
      <c r="A135">
        <v>1.33</v>
      </c>
      <c r="B135">
        <v>-339.88745808360005</v>
      </c>
      <c r="C135">
        <v>-452.05031925118811</v>
      </c>
      <c r="D135">
        <v>-300.61346230204009</v>
      </c>
      <c r="F135">
        <v>-2.4341548486233667E-4</v>
      </c>
      <c r="G135">
        <v>-3.2374259486690781E-4</v>
      </c>
      <c r="H135">
        <v>-2.152888255864937E-4</v>
      </c>
    </row>
    <row r="136" spans="1:8" x14ac:dyDescent="0.2">
      <c r="A136">
        <v>1.34</v>
      </c>
      <c r="B136">
        <v>-339.88745808360005</v>
      </c>
      <c r="C136">
        <v>-455.44919383202409</v>
      </c>
      <c r="D136">
        <v>-305.15095986745615</v>
      </c>
      <c r="F136">
        <v>-2.4341548486233667E-4</v>
      </c>
      <c r="G136">
        <v>-3.2617674971553115E-4</v>
      </c>
      <c r="H136">
        <v>-2.185384223094059E-4</v>
      </c>
    </row>
    <row r="137" spans="1:8" x14ac:dyDescent="0.2">
      <c r="A137">
        <v>1.35</v>
      </c>
      <c r="B137">
        <v>-339.88745808360005</v>
      </c>
      <c r="C137">
        <v>-458.84806841286007</v>
      </c>
      <c r="D137">
        <v>-309.72244617868057</v>
      </c>
      <c r="F137">
        <v>-2.4341548486233667E-4</v>
      </c>
      <c r="G137">
        <v>-3.286109045641545E-4</v>
      </c>
      <c r="H137">
        <v>-2.2181236058080431E-4</v>
      </c>
    </row>
    <row r="138" spans="1:8" x14ac:dyDescent="0.2">
      <c r="A138">
        <v>1.36</v>
      </c>
      <c r="B138">
        <v>-339.88745808360005</v>
      </c>
      <c r="C138">
        <v>-462.24694299369611</v>
      </c>
      <c r="D138">
        <v>-314.3279212357134</v>
      </c>
      <c r="F138">
        <v>-2.4341548486233667E-4</v>
      </c>
      <c r="G138">
        <v>-3.3104505941277789E-4</v>
      </c>
      <c r="H138">
        <v>-2.2511064040068901E-4</v>
      </c>
    </row>
    <row r="139" spans="1:8" x14ac:dyDescent="0.2">
      <c r="A139">
        <v>1.37</v>
      </c>
      <c r="B139">
        <v>-339.88745808360005</v>
      </c>
      <c r="C139">
        <v>-465.64581757453209</v>
      </c>
      <c r="D139">
        <v>-318.96738503855448</v>
      </c>
      <c r="F139">
        <v>-2.4341548486233667E-4</v>
      </c>
      <c r="G139">
        <v>-3.3347921426140123E-4</v>
      </c>
      <c r="H139">
        <v>-2.2843326176905985E-4</v>
      </c>
    </row>
    <row r="140" spans="1:8" x14ac:dyDescent="0.2">
      <c r="A140">
        <v>1.38</v>
      </c>
      <c r="B140">
        <v>-339.88745808360005</v>
      </c>
      <c r="C140">
        <v>-469.04469215536801</v>
      </c>
      <c r="D140">
        <v>-323.64083758720392</v>
      </c>
      <c r="F140">
        <v>-2.4341548486233667E-4</v>
      </c>
      <c r="G140">
        <v>-3.3591336911002458E-4</v>
      </c>
      <c r="H140">
        <v>-2.3178022468591696E-4</v>
      </c>
    </row>
    <row r="141" spans="1:8" x14ac:dyDescent="0.2">
      <c r="A141">
        <v>1.39</v>
      </c>
      <c r="B141">
        <v>-339.88745808360005</v>
      </c>
      <c r="C141">
        <v>-472.44356673620405</v>
      </c>
      <c r="D141">
        <v>-328.34827888166177</v>
      </c>
      <c r="F141">
        <v>-2.4341548486233667E-4</v>
      </c>
      <c r="G141">
        <v>-3.3834752395864797E-4</v>
      </c>
      <c r="H141">
        <v>-2.3515152915126031E-4</v>
      </c>
    </row>
    <row r="142" spans="1:8" x14ac:dyDescent="0.2">
      <c r="A142">
        <v>1.4</v>
      </c>
      <c r="B142">
        <v>-339.88745808360005</v>
      </c>
      <c r="C142">
        <v>-475.84244131704003</v>
      </c>
      <c r="D142">
        <v>-333.08970892192798</v>
      </c>
      <c r="F142">
        <v>-2.4341548486233667E-4</v>
      </c>
      <c r="G142">
        <v>-3.4078167880727131E-4</v>
      </c>
      <c r="H142">
        <v>-2.385471751650899E-4</v>
      </c>
    </row>
    <row r="143" spans="1:8" x14ac:dyDescent="0.2">
      <c r="A143">
        <v>1.41</v>
      </c>
      <c r="B143">
        <v>-339.88745808360005</v>
      </c>
      <c r="C143">
        <v>-479.24131589787606</v>
      </c>
      <c r="D143">
        <v>-337.8651277080026</v>
      </c>
      <c r="F143">
        <v>-2.4341548486233667E-4</v>
      </c>
      <c r="G143">
        <v>-3.4321583365589471E-4</v>
      </c>
      <c r="H143">
        <v>-2.4196716272740576E-4</v>
      </c>
    </row>
    <row r="144" spans="1:8" x14ac:dyDescent="0.2">
      <c r="A144">
        <v>1.42</v>
      </c>
      <c r="B144">
        <v>-339.88745808360005</v>
      </c>
      <c r="C144">
        <v>-482.64019047871204</v>
      </c>
      <c r="D144">
        <v>-342.67453523988559</v>
      </c>
      <c r="F144">
        <v>-2.4341548486233667E-4</v>
      </c>
      <c r="G144">
        <v>-3.4564998850451805E-4</v>
      </c>
      <c r="H144">
        <v>-2.4541149183820787E-4</v>
      </c>
    </row>
    <row r="145" spans="1:8" x14ac:dyDescent="0.2">
      <c r="A145">
        <v>1.43</v>
      </c>
      <c r="B145">
        <v>-339.88745808360005</v>
      </c>
      <c r="C145">
        <v>-486.03906505954808</v>
      </c>
      <c r="D145">
        <v>-347.51793151757681</v>
      </c>
      <c r="F145">
        <v>-2.4341548486233667E-4</v>
      </c>
      <c r="G145">
        <v>-3.4808414335314145E-4</v>
      </c>
      <c r="H145">
        <v>-2.4888016249749608E-4</v>
      </c>
    </row>
    <row r="146" spans="1:8" x14ac:dyDescent="0.2">
      <c r="A146">
        <v>1.44</v>
      </c>
      <c r="B146">
        <v>-339.88745808360005</v>
      </c>
      <c r="C146">
        <v>-489.43793964038406</v>
      </c>
      <c r="D146">
        <v>-352.39531654107651</v>
      </c>
      <c r="F146">
        <v>-2.4341548486233667E-4</v>
      </c>
      <c r="G146">
        <v>-3.5051829820176479E-4</v>
      </c>
      <c r="H146">
        <v>-2.5237317470527067E-4</v>
      </c>
    </row>
    <row r="147" spans="1:8" x14ac:dyDescent="0.2">
      <c r="A147">
        <v>1.45</v>
      </c>
      <c r="B147">
        <v>-339.88745808360005</v>
      </c>
      <c r="C147">
        <v>-492.83681422122004</v>
      </c>
      <c r="D147">
        <v>-357.30669031038457</v>
      </c>
      <c r="F147">
        <v>-2.4341548486233667E-4</v>
      </c>
      <c r="G147">
        <v>-3.5295245305038813E-4</v>
      </c>
      <c r="H147">
        <v>-2.5589052846153142E-4</v>
      </c>
    </row>
    <row r="148" spans="1:8" x14ac:dyDescent="0.2">
      <c r="A148">
        <v>1.46</v>
      </c>
      <c r="B148">
        <v>-339.88745808360005</v>
      </c>
      <c r="C148">
        <v>-496.23568880205607</v>
      </c>
      <c r="D148">
        <v>-362.25205282550087</v>
      </c>
      <c r="F148">
        <v>-2.4341548486233667E-4</v>
      </c>
      <c r="G148">
        <v>-3.5538660789901153E-4</v>
      </c>
      <c r="H148">
        <v>-2.5943222376627838E-4</v>
      </c>
    </row>
    <row r="149" spans="1:8" x14ac:dyDescent="0.2">
      <c r="A149">
        <v>1.47</v>
      </c>
      <c r="B149">
        <v>-339.88745808360005</v>
      </c>
      <c r="C149">
        <v>-499.63456338289205</v>
      </c>
      <c r="D149">
        <v>-367.23140408642564</v>
      </c>
      <c r="F149">
        <v>-2.4341548486233667E-4</v>
      </c>
      <c r="G149">
        <v>-3.5782076274763492E-4</v>
      </c>
      <c r="H149">
        <v>-2.6299826061951161E-4</v>
      </c>
    </row>
    <row r="150" spans="1:8" x14ac:dyDescent="0.2">
      <c r="A150">
        <v>1.48</v>
      </c>
      <c r="B150">
        <v>-339.88745808360005</v>
      </c>
      <c r="C150">
        <v>-503.03343796372809</v>
      </c>
      <c r="D150">
        <v>-372.24474409315877</v>
      </c>
      <c r="F150">
        <v>-2.4341548486233667E-4</v>
      </c>
      <c r="G150">
        <v>-3.6025491759625832E-4</v>
      </c>
      <c r="H150">
        <v>-2.6658863902123112E-4</v>
      </c>
    </row>
    <row r="151" spans="1:8" x14ac:dyDescent="0.2">
      <c r="A151">
        <v>1.49</v>
      </c>
      <c r="B151">
        <v>-339.88745808360005</v>
      </c>
      <c r="C151">
        <v>-506.43231254456407</v>
      </c>
      <c r="D151">
        <v>-377.2920728457002</v>
      </c>
      <c r="F151">
        <v>-2.4341548486233667E-4</v>
      </c>
      <c r="G151">
        <v>-3.6268907244488166E-4</v>
      </c>
      <c r="H151">
        <v>-2.7020335897143678E-4</v>
      </c>
    </row>
    <row r="152" spans="1:8" x14ac:dyDescent="0.2">
      <c r="A152">
        <v>1.5</v>
      </c>
      <c r="B152">
        <v>-339.88745808360005</v>
      </c>
      <c r="C152">
        <v>-509.83118712540011</v>
      </c>
      <c r="D152">
        <v>-382.37339034405005</v>
      </c>
      <c r="F152">
        <v>-2.4341548486233667E-4</v>
      </c>
      <c r="G152">
        <v>-3.6512322729350506E-4</v>
      </c>
      <c r="H152">
        <v>-2.7384242047012876E-4</v>
      </c>
    </row>
    <row r="153" spans="1:8" x14ac:dyDescent="0.2">
      <c r="A153">
        <v>1.51</v>
      </c>
      <c r="B153">
        <v>-339.88745808360005</v>
      </c>
      <c r="C153">
        <v>-513.23006170623603</v>
      </c>
      <c r="D153">
        <v>-387.48869658820826</v>
      </c>
      <c r="F153">
        <v>-2.4341548486233667E-4</v>
      </c>
      <c r="G153">
        <v>-3.6755738214212834E-4</v>
      </c>
      <c r="H153">
        <v>-2.7750582351730697E-4</v>
      </c>
    </row>
    <row r="154" spans="1:8" x14ac:dyDescent="0.2">
      <c r="A154">
        <v>1.52</v>
      </c>
      <c r="B154">
        <v>-339.88745808360005</v>
      </c>
      <c r="C154">
        <v>-516.62893628707207</v>
      </c>
      <c r="D154">
        <v>-392.63799157817476</v>
      </c>
      <c r="F154">
        <v>-2.4341548486233667E-4</v>
      </c>
      <c r="G154">
        <v>-3.6999153699075174E-4</v>
      </c>
      <c r="H154">
        <v>-2.8119356811297133E-4</v>
      </c>
    </row>
    <row r="155" spans="1:8" x14ac:dyDescent="0.2">
      <c r="A155">
        <v>1.53</v>
      </c>
      <c r="B155">
        <v>-339.88745808360005</v>
      </c>
      <c r="C155">
        <v>-520.0278108679081</v>
      </c>
      <c r="D155">
        <v>-397.82127531394968</v>
      </c>
      <c r="F155">
        <v>-2.4341548486233667E-4</v>
      </c>
      <c r="G155">
        <v>-3.7242569183937514E-4</v>
      </c>
      <c r="H155">
        <v>-2.8490565425712196E-4</v>
      </c>
    </row>
    <row r="156" spans="1:8" x14ac:dyDescent="0.2">
      <c r="A156">
        <v>1.54</v>
      </c>
      <c r="B156">
        <v>-339.88745808360005</v>
      </c>
      <c r="C156">
        <v>-523.42668544874414</v>
      </c>
      <c r="D156">
        <v>-403.03854779553291</v>
      </c>
      <c r="F156">
        <v>-2.4341548486233667E-4</v>
      </c>
      <c r="G156">
        <v>-3.7485984668799853E-4</v>
      </c>
      <c r="H156">
        <v>-2.8864208194975881E-4</v>
      </c>
    </row>
    <row r="157" spans="1:8" x14ac:dyDescent="0.2">
      <c r="A157">
        <v>1.55</v>
      </c>
      <c r="B157">
        <v>-339.88745808360005</v>
      </c>
      <c r="C157">
        <v>-526.82556002958006</v>
      </c>
      <c r="D157">
        <v>-408.2898090229246</v>
      </c>
      <c r="F157">
        <v>-2.4341548486233667E-4</v>
      </c>
      <c r="G157">
        <v>-3.7729400153662182E-4</v>
      </c>
      <c r="H157">
        <v>-2.9240285119088198E-4</v>
      </c>
    </row>
    <row r="158" spans="1:8" x14ac:dyDescent="0.2">
      <c r="A158">
        <v>1.56</v>
      </c>
      <c r="B158">
        <v>-339.88745808360005</v>
      </c>
      <c r="C158">
        <v>-530.2244346104161</v>
      </c>
      <c r="D158">
        <v>-413.5750589961246</v>
      </c>
      <c r="F158">
        <v>-2.4341548486233667E-4</v>
      </c>
      <c r="G158">
        <v>-3.7972815638524521E-4</v>
      </c>
      <c r="H158">
        <v>-2.9618796198049131E-4</v>
      </c>
    </row>
    <row r="159" spans="1:8" x14ac:dyDescent="0.2">
      <c r="A159">
        <v>1.57</v>
      </c>
      <c r="B159">
        <v>-339.88745808360005</v>
      </c>
      <c r="C159">
        <v>-533.62330919125213</v>
      </c>
      <c r="D159">
        <v>-418.89429771513289</v>
      </c>
      <c r="F159">
        <v>-2.4341548486233667E-4</v>
      </c>
      <c r="G159">
        <v>-3.8216231123386861E-4</v>
      </c>
      <c r="H159">
        <v>-2.9999741431858685E-4</v>
      </c>
    </row>
    <row r="160" spans="1:8" x14ac:dyDescent="0.2">
      <c r="A160">
        <v>1.58</v>
      </c>
      <c r="B160">
        <v>-339.88745808360005</v>
      </c>
      <c r="C160">
        <v>-537.02218377208806</v>
      </c>
      <c r="D160">
        <v>-424.24752517994966</v>
      </c>
      <c r="F160">
        <v>-2.4341548486233667E-4</v>
      </c>
      <c r="G160">
        <v>-3.8459646608249195E-4</v>
      </c>
      <c r="H160">
        <v>-3.0383120820516872E-4</v>
      </c>
    </row>
    <row r="161" spans="1:8" x14ac:dyDescent="0.2">
      <c r="A161">
        <v>1.59</v>
      </c>
      <c r="B161">
        <v>-339.88745808360005</v>
      </c>
      <c r="C161">
        <v>-540.42105835292409</v>
      </c>
      <c r="D161">
        <v>-429.63474139057467</v>
      </c>
      <c r="F161">
        <v>-2.4341548486233667E-4</v>
      </c>
      <c r="G161">
        <v>-3.8703062093111535E-4</v>
      </c>
      <c r="H161">
        <v>-3.076893436402367E-4</v>
      </c>
    </row>
    <row r="162" spans="1:8" x14ac:dyDescent="0.2">
      <c r="A162">
        <v>1.6</v>
      </c>
      <c r="B162">
        <v>-339.88745808360005</v>
      </c>
      <c r="C162">
        <v>-543.81993293376013</v>
      </c>
      <c r="D162">
        <v>-435.05594634700816</v>
      </c>
      <c r="F162">
        <v>-2.4341548486233667E-4</v>
      </c>
      <c r="G162">
        <v>-3.8946477577973869E-4</v>
      </c>
      <c r="H162">
        <v>-3.11571820623791E-4</v>
      </c>
    </row>
    <row r="163" spans="1:8" x14ac:dyDescent="0.2">
      <c r="A163">
        <v>1.61</v>
      </c>
      <c r="B163">
        <v>-339.88745808360005</v>
      </c>
      <c r="C163">
        <v>-547.21880751459616</v>
      </c>
      <c r="D163">
        <v>-440.51114004924989</v>
      </c>
      <c r="F163">
        <v>-2.4341548486233667E-4</v>
      </c>
      <c r="G163">
        <v>-3.9189893062836209E-4</v>
      </c>
      <c r="H163">
        <v>-3.1547863915583146E-4</v>
      </c>
    </row>
    <row r="164" spans="1:8" x14ac:dyDescent="0.2">
      <c r="A164">
        <v>1.62</v>
      </c>
      <c r="B164">
        <v>-339.88745808360005</v>
      </c>
      <c r="C164">
        <v>-550.61768209543209</v>
      </c>
      <c r="D164">
        <v>-446.00032249730009</v>
      </c>
      <c r="F164">
        <v>-2.4341548486233667E-4</v>
      </c>
      <c r="G164">
        <v>-3.9433308547698543E-4</v>
      </c>
      <c r="H164">
        <v>-3.1940979923635824E-4</v>
      </c>
    </row>
    <row r="165" spans="1:8" x14ac:dyDescent="0.2">
      <c r="A165">
        <v>1.63</v>
      </c>
      <c r="B165">
        <v>-339.88745808360005</v>
      </c>
      <c r="C165">
        <v>-554.01655667626801</v>
      </c>
      <c r="D165">
        <v>-451.52349369115848</v>
      </c>
      <c r="F165">
        <v>-2.4341548486233667E-4</v>
      </c>
      <c r="G165">
        <v>-3.9676724032560872E-4</v>
      </c>
      <c r="H165">
        <v>-3.2336530086537113E-4</v>
      </c>
    </row>
    <row r="166" spans="1:8" x14ac:dyDescent="0.2">
      <c r="A166">
        <v>1.64</v>
      </c>
      <c r="B166">
        <v>-339.88745808360005</v>
      </c>
      <c r="C166">
        <v>-557.41543125710405</v>
      </c>
      <c r="D166">
        <v>-457.08065363082528</v>
      </c>
      <c r="F166">
        <v>-2.4341548486233667E-4</v>
      </c>
      <c r="G166">
        <v>-3.9920139517423211E-4</v>
      </c>
      <c r="H166">
        <v>-3.2734514404287034E-4</v>
      </c>
    </row>
    <row r="167" spans="1:8" x14ac:dyDescent="0.2">
      <c r="A167">
        <v>1.65</v>
      </c>
      <c r="B167">
        <v>-339.88745808360005</v>
      </c>
      <c r="C167">
        <v>-560.81430583794008</v>
      </c>
      <c r="D167">
        <v>-462.6718023163005</v>
      </c>
      <c r="F167">
        <v>-2.4341548486233667E-4</v>
      </c>
      <c r="G167">
        <v>-4.0163555002285551E-4</v>
      </c>
      <c r="H167">
        <v>-3.3134932876885577E-4</v>
      </c>
    </row>
    <row r="168" spans="1:8" x14ac:dyDescent="0.2">
      <c r="A168">
        <v>1.66</v>
      </c>
      <c r="B168">
        <v>-339.88745808360005</v>
      </c>
      <c r="C168">
        <v>-564.21318041877601</v>
      </c>
      <c r="D168">
        <v>-468.29693974758413</v>
      </c>
      <c r="F168">
        <v>-2.4341548486233667E-4</v>
      </c>
      <c r="G168">
        <v>-4.0406970487147885E-4</v>
      </c>
      <c r="H168">
        <v>-3.3537785504332747E-4</v>
      </c>
    </row>
    <row r="169" spans="1:8" x14ac:dyDescent="0.2">
      <c r="A169">
        <v>1.67</v>
      </c>
      <c r="B169">
        <v>-339.88745808360005</v>
      </c>
      <c r="C169">
        <v>-567.61205499961204</v>
      </c>
      <c r="D169">
        <v>-473.95606592467607</v>
      </c>
      <c r="F169">
        <v>-2.4341548486233667E-4</v>
      </c>
      <c r="G169">
        <v>-4.0650385972010225E-4</v>
      </c>
      <c r="H169">
        <v>-3.3943072286628538E-4</v>
      </c>
    </row>
    <row r="170" spans="1:8" x14ac:dyDescent="0.2">
      <c r="A170">
        <v>1.68</v>
      </c>
      <c r="B170">
        <v>-339.88745808360005</v>
      </c>
      <c r="C170">
        <v>-571.01092958044808</v>
      </c>
      <c r="D170">
        <v>-479.6491808475763</v>
      </c>
      <c r="F170">
        <v>-2.4341548486233667E-4</v>
      </c>
      <c r="G170">
        <v>-4.0893801456872559E-4</v>
      </c>
      <c r="H170">
        <v>-3.4350793223772945E-4</v>
      </c>
    </row>
    <row r="171" spans="1:8" x14ac:dyDescent="0.2">
      <c r="A171">
        <v>1.69</v>
      </c>
      <c r="B171">
        <v>-339.88745808360005</v>
      </c>
      <c r="C171">
        <v>-574.40980416128411</v>
      </c>
      <c r="D171">
        <v>-485.37628451628501</v>
      </c>
      <c r="F171">
        <v>-2.4341548486233667E-4</v>
      </c>
      <c r="G171">
        <v>-4.1137216941734898E-4</v>
      </c>
      <c r="H171">
        <v>-3.4760948315765985E-4</v>
      </c>
    </row>
    <row r="172" spans="1:8" x14ac:dyDescent="0.2">
      <c r="A172">
        <v>1.7</v>
      </c>
      <c r="B172">
        <v>-339.88745808360005</v>
      </c>
      <c r="C172">
        <v>-577.80867874212004</v>
      </c>
      <c r="D172">
        <v>-491.13737693080202</v>
      </c>
      <c r="F172">
        <v>-2.4341548486233667E-4</v>
      </c>
      <c r="G172">
        <v>-4.1380632426597232E-4</v>
      </c>
      <c r="H172">
        <v>-3.5173537562607646E-4</v>
      </c>
    </row>
    <row r="173" spans="1:8" x14ac:dyDescent="0.2">
      <c r="A173">
        <v>1.71</v>
      </c>
      <c r="B173">
        <v>-339.88745808360005</v>
      </c>
      <c r="C173">
        <v>-581.20755332295607</v>
      </c>
      <c r="D173">
        <v>-496.93245809112739</v>
      </c>
      <c r="F173">
        <v>-2.4341548486233667E-4</v>
      </c>
      <c r="G173">
        <v>-4.1624047911459572E-4</v>
      </c>
      <c r="H173">
        <v>-3.5588560964297929E-4</v>
      </c>
    </row>
    <row r="174" spans="1:8" x14ac:dyDescent="0.2">
      <c r="A174">
        <v>1.72</v>
      </c>
      <c r="B174">
        <v>-339.88745808360005</v>
      </c>
      <c r="C174">
        <v>-584.60642790379211</v>
      </c>
      <c r="D174">
        <v>-502.76152799726117</v>
      </c>
      <c r="F174">
        <v>-2.4341548486233667E-4</v>
      </c>
      <c r="G174">
        <v>-4.1867463396321912E-4</v>
      </c>
      <c r="H174">
        <v>-3.6006018520836838E-4</v>
      </c>
    </row>
    <row r="175" spans="1:8" x14ac:dyDescent="0.2">
      <c r="A175">
        <v>1.73</v>
      </c>
      <c r="B175">
        <v>-339.88745808360005</v>
      </c>
      <c r="C175">
        <v>-588.00530248462803</v>
      </c>
      <c r="D175">
        <v>-508.62458664920331</v>
      </c>
      <c r="F175">
        <v>-2.4341548486233667E-4</v>
      </c>
      <c r="G175">
        <v>-4.211087888118424E-4</v>
      </c>
      <c r="H175">
        <v>-3.6425910232224375E-4</v>
      </c>
    </row>
    <row r="176" spans="1:8" x14ac:dyDescent="0.2">
      <c r="A176">
        <v>1.74</v>
      </c>
      <c r="B176">
        <v>-339.88745808360005</v>
      </c>
      <c r="C176">
        <v>-591.40417706546407</v>
      </c>
      <c r="D176">
        <v>-514.52163404695375</v>
      </c>
      <c r="F176">
        <v>-2.4341548486233667E-4</v>
      </c>
      <c r="G176">
        <v>-4.235429436604658E-4</v>
      </c>
      <c r="H176">
        <v>-3.6848236098460527E-4</v>
      </c>
    </row>
    <row r="177" spans="1:8" x14ac:dyDescent="0.2">
      <c r="A177">
        <v>1.75</v>
      </c>
      <c r="B177">
        <v>-339.88745808360005</v>
      </c>
      <c r="C177">
        <v>-594.8030516463001</v>
      </c>
      <c r="D177">
        <v>-520.45267019051255</v>
      </c>
      <c r="F177">
        <v>-2.4341548486233667E-4</v>
      </c>
      <c r="G177">
        <v>-4.259770985090892E-4</v>
      </c>
      <c r="H177">
        <v>-3.7272996119545301E-4</v>
      </c>
    </row>
    <row r="178" spans="1:8" x14ac:dyDescent="0.2">
      <c r="A178">
        <v>1.76</v>
      </c>
      <c r="B178">
        <v>-339.88745808360005</v>
      </c>
      <c r="C178">
        <v>-598.20192622713614</v>
      </c>
      <c r="D178">
        <v>-526.41769507987976</v>
      </c>
      <c r="F178">
        <v>-2.4341548486233667E-4</v>
      </c>
      <c r="G178">
        <v>-4.2841125335771259E-4</v>
      </c>
      <c r="H178">
        <v>-3.7700190295478702E-4</v>
      </c>
    </row>
    <row r="179" spans="1:8" x14ac:dyDescent="0.2">
      <c r="A179">
        <v>1.77</v>
      </c>
      <c r="B179">
        <v>-339.88745808360005</v>
      </c>
      <c r="C179">
        <v>-601.60080080797206</v>
      </c>
      <c r="D179">
        <v>-532.41670871505539</v>
      </c>
      <c r="F179">
        <v>-2.4341548486233667E-4</v>
      </c>
      <c r="G179">
        <v>-4.3084540820633588E-4</v>
      </c>
      <c r="H179">
        <v>-3.8129818626260736E-4</v>
      </c>
    </row>
    <row r="180" spans="1:8" x14ac:dyDescent="0.2">
      <c r="A180">
        <v>1.78</v>
      </c>
      <c r="B180">
        <v>-339.88745808360005</v>
      </c>
      <c r="C180">
        <v>-604.9996753888081</v>
      </c>
      <c r="D180">
        <v>-538.44971109603921</v>
      </c>
      <c r="F180">
        <v>-2.4341548486233667E-4</v>
      </c>
      <c r="G180">
        <v>-4.3327956305495928E-4</v>
      </c>
      <c r="H180">
        <v>-3.856188111189138E-4</v>
      </c>
    </row>
    <row r="181" spans="1:8" x14ac:dyDescent="0.2">
      <c r="A181">
        <v>1.79</v>
      </c>
      <c r="B181">
        <v>-339.88745808360005</v>
      </c>
      <c r="C181">
        <v>-608.39854996964414</v>
      </c>
      <c r="D181">
        <v>-544.51670222283144</v>
      </c>
      <c r="F181">
        <v>-2.4341548486233667E-4</v>
      </c>
      <c r="G181">
        <v>-4.3571371790358267E-4</v>
      </c>
      <c r="H181">
        <v>-3.8996377752370645E-4</v>
      </c>
    </row>
    <row r="182" spans="1:8" x14ac:dyDescent="0.2">
      <c r="A182">
        <v>1.8</v>
      </c>
      <c r="B182">
        <v>-339.88745808360005</v>
      </c>
      <c r="C182">
        <v>-611.79742455048006</v>
      </c>
      <c r="D182">
        <v>-550.61768209543209</v>
      </c>
      <c r="F182">
        <v>-2.4341548486233667E-4</v>
      </c>
      <c r="G182">
        <v>-4.3814787275220601E-4</v>
      </c>
      <c r="H182">
        <v>-3.9433308547698543E-4</v>
      </c>
    </row>
    <row r="183" spans="1:8" x14ac:dyDescent="0.2">
      <c r="A183">
        <v>1.81</v>
      </c>
      <c r="B183">
        <v>-339.88745808360005</v>
      </c>
      <c r="C183">
        <v>-615.1962991313161</v>
      </c>
      <c r="D183">
        <v>-556.75265071384104</v>
      </c>
      <c r="F183">
        <v>-2.4341548486233667E-4</v>
      </c>
      <c r="G183">
        <v>-4.4058202760082941E-4</v>
      </c>
      <c r="H183">
        <v>-3.9872673497875057E-4</v>
      </c>
    </row>
    <row r="184" spans="1:8" x14ac:dyDescent="0.2">
      <c r="A184">
        <v>1.82</v>
      </c>
      <c r="B184">
        <v>-339.88745808360005</v>
      </c>
      <c r="C184">
        <v>-618.59517371215213</v>
      </c>
      <c r="D184">
        <v>-562.9216080780584</v>
      </c>
      <c r="F184">
        <v>-2.4341548486233667E-4</v>
      </c>
      <c r="G184">
        <v>-4.430161824494528E-4</v>
      </c>
      <c r="H184">
        <v>-4.0314472602900197E-4</v>
      </c>
    </row>
    <row r="185" spans="1:8" x14ac:dyDescent="0.2">
      <c r="A185">
        <v>1.83</v>
      </c>
      <c r="B185">
        <v>-339.88745808360005</v>
      </c>
      <c r="C185">
        <v>-621.99404829298817</v>
      </c>
      <c r="D185">
        <v>-569.12455418808418</v>
      </c>
      <c r="F185">
        <v>-2.4341548486233667E-4</v>
      </c>
      <c r="G185">
        <v>-4.4545033729807615E-4</v>
      </c>
      <c r="H185">
        <v>-4.0758705862773971E-4</v>
      </c>
    </row>
    <row r="186" spans="1:8" x14ac:dyDescent="0.2">
      <c r="A186">
        <v>1.84</v>
      </c>
      <c r="B186">
        <v>-339.88745808360005</v>
      </c>
      <c r="C186">
        <v>-625.39292287382409</v>
      </c>
      <c r="D186">
        <v>-575.36148904391814</v>
      </c>
      <c r="F186">
        <v>-2.4341548486233667E-4</v>
      </c>
      <c r="G186">
        <v>-4.4788449214669949E-4</v>
      </c>
      <c r="H186">
        <v>-4.1205373277496349E-4</v>
      </c>
    </row>
    <row r="187" spans="1:8" x14ac:dyDescent="0.2">
      <c r="A187">
        <v>1.85</v>
      </c>
      <c r="B187">
        <v>-339.88745808360005</v>
      </c>
      <c r="C187">
        <v>-628.79179745466013</v>
      </c>
      <c r="D187">
        <v>-581.63241264556063</v>
      </c>
      <c r="F187">
        <v>-2.4341548486233667E-4</v>
      </c>
      <c r="G187">
        <v>-4.5031864699532288E-4</v>
      </c>
      <c r="H187">
        <v>-4.1654474847067365E-4</v>
      </c>
    </row>
    <row r="188" spans="1:8" x14ac:dyDescent="0.2">
      <c r="A188">
        <v>1.86</v>
      </c>
      <c r="B188">
        <v>-339.88745808360005</v>
      </c>
      <c r="C188">
        <v>-632.19067203549616</v>
      </c>
      <c r="D188">
        <v>-587.93732499301143</v>
      </c>
      <c r="F188">
        <v>-2.4341548486233667E-4</v>
      </c>
      <c r="G188">
        <v>-4.5275280184394628E-4</v>
      </c>
      <c r="H188">
        <v>-4.2106010571487003E-4</v>
      </c>
    </row>
    <row r="189" spans="1:8" x14ac:dyDescent="0.2">
      <c r="A189">
        <v>1.87</v>
      </c>
      <c r="B189">
        <v>-339.88745808360005</v>
      </c>
      <c r="C189">
        <v>-635.58954661633209</v>
      </c>
      <c r="D189">
        <v>-594.27622608627064</v>
      </c>
      <c r="F189">
        <v>-2.4341548486233667E-4</v>
      </c>
      <c r="G189">
        <v>-4.5518695669256957E-4</v>
      </c>
      <c r="H189">
        <v>-4.2559980450755267E-4</v>
      </c>
    </row>
    <row r="190" spans="1:8" x14ac:dyDescent="0.2">
      <c r="A190">
        <v>1.88</v>
      </c>
      <c r="B190">
        <v>-339.88745808360005</v>
      </c>
      <c r="C190">
        <v>-638.98842119716801</v>
      </c>
      <c r="D190">
        <v>-600.64911592533792</v>
      </c>
      <c r="F190">
        <v>-2.4341548486233667E-4</v>
      </c>
      <c r="G190">
        <v>-4.5762111154119291E-4</v>
      </c>
      <c r="H190">
        <v>-4.3016384484872132E-4</v>
      </c>
    </row>
    <row r="191" spans="1:8" x14ac:dyDescent="0.2">
      <c r="A191">
        <v>1.89</v>
      </c>
      <c r="B191">
        <v>-339.88745808360005</v>
      </c>
      <c r="C191">
        <v>-642.38729577800405</v>
      </c>
      <c r="D191">
        <v>-607.05599451021385</v>
      </c>
      <c r="F191">
        <v>-2.4341548486233667E-4</v>
      </c>
      <c r="G191">
        <v>-4.6005526638981631E-4</v>
      </c>
      <c r="H191">
        <v>-4.3475222673837639E-4</v>
      </c>
    </row>
    <row r="192" spans="1:8" x14ac:dyDescent="0.2">
      <c r="A192">
        <v>1.9</v>
      </c>
      <c r="B192">
        <v>-339.88745808360005</v>
      </c>
      <c r="C192">
        <v>-645.78617035884008</v>
      </c>
      <c r="D192">
        <v>-613.49686184089808</v>
      </c>
      <c r="F192">
        <v>-2.4341548486233667E-4</v>
      </c>
      <c r="G192">
        <v>-4.624894212384397E-4</v>
      </c>
      <c r="H192">
        <v>-4.3936495017651768E-4</v>
      </c>
    </row>
    <row r="193" spans="1:8" x14ac:dyDescent="0.2">
      <c r="A193">
        <v>1.91</v>
      </c>
      <c r="B193">
        <v>-339.88745808360005</v>
      </c>
      <c r="C193">
        <v>-649.18504493967612</v>
      </c>
      <c r="D193">
        <v>-619.97171791739061</v>
      </c>
      <c r="F193">
        <v>-2.4341548486233667E-4</v>
      </c>
      <c r="G193">
        <v>-4.6492357608706304E-4</v>
      </c>
      <c r="H193">
        <v>-4.4400201516314519E-4</v>
      </c>
    </row>
    <row r="194" spans="1:8" x14ac:dyDescent="0.2">
      <c r="A194">
        <v>1.92</v>
      </c>
      <c r="B194">
        <v>-339.88745808360005</v>
      </c>
      <c r="C194">
        <v>-652.58391952051204</v>
      </c>
      <c r="D194">
        <v>-626.48056273969155</v>
      </c>
      <c r="F194">
        <v>-2.4341548486233667E-4</v>
      </c>
      <c r="G194">
        <v>-4.6735773093568639E-4</v>
      </c>
      <c r="H194">
        <v>-4.4866342169825891E-4</v>
      </c>
    </row>
    <row r="195" spans="1:8" x14ac:dyDescent="0.2">
      <c r="A195">
        <v>1.93</v>
      </c>
      <c r="B195">
        <v>-339.88745808360005</v>
      </c>
      <c r="C195">
        <v>-655.98279410134808</v>
      </c>
      <c r="D195">
        <v>-633.02339630780091</v>
      </c>
      <c r="F195">
        <v>-2.4341548486233667E-4</v>
      </c>
      <c r="G195">
        <v>-4.6979188578430978E-4</v>
      </c>
      <c r="H195">
        <v>-4.5334916978185895E-4</v>
      </c>
    </row>
    <row r="196" spans="1:8" x14ac:dyDescent="0.2">
      <c r="A196">
        <v>1.94</v>
      </c>
      <c r="B196">
        <v>-339.88745808360005</v>
      </c>
      <c r="C196">
        <v>-659.38166868218411</v>
      </c>
      <c r="D196">
        <v>-639.60021862171857</v>
      </c>
      <c r="F196">
        <v>-2.4341548486233667E-4</v>
      </c>
      <c r="G196">
        <v>-4.7222604063293318E-4</v>
      </c>
      <c r="H196">
        <v>-4.5805925941394516E-4</v>
      </c>
    </row>
    <row r="197" spans="1:8" x14ac:dyDescent="0.2">
      <c r="A197">
        <v>1.95</v>
      </c>
      <c r="B197">
        <v>-339.88745808360005</v>
      </c>
      <c r="C197">
        <v>-662.78054326302004</v>
      </c>
      <c r="D197">
        <v>-646.21102968144453</v>
      </c>
      <c r="F197">
        <v>-2.4341548486233667E-4</v>
      </c>
      <c r="G197">
        <v>-4.7466019548155646E-4</v>
      </c>
      <c r="H197">
        <v>-4.6279369059451758E-4</v>
      </c>
    </row>
    <row r="198" spans="1:8" x14ac:dyDescent="0.2">
      <c r="A198">
        <v>1.96</v>
      </c>
      <c r="B198">
        <v>-339.88745808360005</v>
      </c>
      <c r="C198">
        <v>-666.17941784385607</v>
      </c>
      <c r="D198">
        <v>-652.85582948697891</v>
      </c>
      <c r="F198">
        <v>-2.4341548486233667E-4</v>
      </c>
      <c r="G198">
        <v>-4.7709435033017986E-4</v>
      </c>
      <c r="H198">
        <v>-4.6755246332357621E-4</v>
      </c>
    </row>
    <row r="199" spans="1:8" x14ac:dyDescent="0.2">
      <c r="A199">
        <v>1.97</v>
      </c>
      <c r="B199">
        <v>-339.88745808360005</v>
      </c>
      <c r="C199">
        <v>-669.57829242469211</v>
      </c>
      <c r="D199">
        <v>-659.5346180383217</v>
      </c>
      <c r="F199">
        <v>-2.4341548486233667E-4</v>
      </c>
      <c r="G199">
        <v>-4.7952850517880326E-4</v>
      </c>
      <c r="H199">
        <v>-4.7233557760112117E-4</v>
      </c>
    </row>
    <row r="200" spans="1:8" x14ac:dyDescent="0.2">
      <c r="A200">
        <v>1.98</v>
      </c>
      <c r="B200">
        <v>-339.88745808360005</v>
      </c>
      <c r="C200">
        <v>-672.97716700552814</v>
      </c>
      <c r="D200">
        <v>-666.24739533547279</v>
      </c>
      <c r="F200">
        <v>-2.4341548486233667E-4</v>
      </c>
      <c r="G200">
        <v>-4.8196266002742665E-4</v>
      </c>
      <c r="H200">
        <v>-4.7714303342715234E-4</v>
      </c>
    </row>
    <row r="201" spans="1:8" x14ac:dyDescent="0.2">
      <c r="A201">
        <v>1.99</v>
      </c>
      <c r="B201">
        <v>-339.88745808360005</v>
      </c>
      <c r="C201">
        <v>-676.37604158636407</v>
      </c>
      <c r="D201">
        <v>-672.9941613784323</v>
      </c>
      <c r="F201">
        <v>-2.4341548486233667E-4</v>
      </c>
      <c r="G201">
        <v>-4.8439681487604994E-4</v>
      </c>
      <c r="H201">
        <v>-4.8197483080166973E-4</v>
      </c>
    </row>
    <row r="202" spans="1:8" x14ac:dyDescent="0.2">
      <c r="A202">
        <v>2</v>
      </c>
      <c r="B202">
        <v>-339.88745808360005</v>
      </c>
      <c r="C202">
        <v>-679.7749161672001</v>
      </c>
      <c r="D202">
        <v>-679.7749161672001</v>
      </c>
      <c r="F202">
        <v>-2.4341548486233667E-4</v>
      </c>
      <c r="G202">
        <v>-4.8683096972467334E-4</v>
      </c>
      <c r="H202">
        <v>-4.8683096972467334E-4</v>
      </c>
    </row>
    <row r="203" spans="1:8" x14ac:dyDescent="0.2">
      <c r="A203">
        <v>2.0099999999999998</v>
      </c>
      <c r="B203">
        <v>-339.88745808360005</v>
      </c>
      <c r="C203">
        <v>-683.17379074803603</v>
      </c>
      <c r="D203">
        <v>-686.5896597017761</v>
      </c>
      <c r="F203">
        <v>-2.4341548486233667E-4</v>
      </c>
      <c r="G203">
        <v>-4.8926512457329668E-4</v>
      </c>
      <c r="H203">
        <v>-4.9171145019616305E-4</v>
      </c>
    </row>
    <row r="204" spans="1:8" x14ac:dyDescent="0.2">
      <c r="A204">
        <v>2.02</v>
      </c>
      <c r="B204">
        <v>-339.88745808360005</v>
      </c>
      <c r="C204">
        <v>-686.57266532887206</v>
      </c>
      <c r="D204">
        <v>-693.43839198216085</v>
      </c>
      <c r="F204">
        <v>-2.4341548486233667E-4</v>
      </c>
      <c r="G204">
        <v>-4.9169927942192002E-4</v>
      </c>
      <c r="H204">
        <v>-4.9661627221613935E-4</v>
      </c>
    </row>
    <row r="205" spans="1:8" x14ac:dyDescent="0.2">
      <c r="A205">
        <v>2.0299999999999998</v>
      </c>
      <c r="B205">
        <v>-339.88745808360005</v>
      </c>
      <c r="C205">
        <v>-689.97153990970799</v>
      </c>
      <c r="D205">
        <v>-700.32111300835356</v>
      </c>
      <c r="F205">
        <v>-2.4341548486233667E-4</v>
      </c>
      <c r="G205">
        <v>-4.9413343427054336E-4</v>
      </c>
      <c r="H205">
        <v>-5.0154543578460149E-4</v>
      </c>
    </row>
    <row r="206" spans="1:8" x14ac:dyDescent="0.2">
      <c r="A206">
        <v>2.04</v>
      </c>
      <c r="B206">
        <v>-339.88745808360005</v>
      </c>
      <c r="C206">
        <v>-693.37041449054414</v>
      </c>
      <c r="D206">
        <v>-707.23782278035503</v>
      </c>
      <c r="F206">
        <v>-2.4341548486233667E-4</v>
      </c>
      <c r="G206">
        <v>-4.9656758911916681E-4</v>
      </c>
      <c r="H206">
        <v>-5.0649894090155022E-4</v>
      </c>
    </row>
    <row r="207" spans="1:8" x14ac:dyDescent="0.2">
      <c r="A207">
        <v>2.0499999999999998</v>
      </c>
      <c r="B207">
        <v>-339.88745808360005</v>
      </c>
      <c r="C207">
        <v>-696.76928907138006</v>
      </c>
      <c r="D207">
        <v>-714.18852129816457</v>
      </c>
      <c r="F207">
        <v>-2.4341548486233667E-4</v>
      </c>
      <c r="G207">
        <v>-4.9900174396779015E-4</v>
      </c>
      <c r="H207">
        <v>-5.114767875669849E-4</v>
      </c>
    </row>
    <row r="208" spans="1:8" x14ac:dyDescent="0.2">
      <c r="A208">
        <v>2.06</v>
      </c>
      <c r="B208">
        <v>-339.88745808360005</v>
      </c>
      <c r="C208">
        <v>-700.16816365221609</v>
      </c>
      <c r="D208">
        <v>-721.17320856178253</v>
      </c>
      <c r="F208">
        <v>-2.4341548486233667E-4</v>
      </c>
      <c r="G208">
        <v>-5.0143589881641349E-4</v>
      </c>
      <c r="H208">
        <v>-5.1647897578090596E-4</v>
      </c>
    </row>
    <row r="209" spans="1:8" x14ac:dyDescent="0.2">
      <c r="A209">
        <v>2.0699999999999998</v>
      </c>
      <c r="B209">
        <v>-339.88745808360005</v>
      </c>
      <c r="C209">
        <v>-703.56703823305202</v>
      </c>
      <c r="D209">
        <v>-728.19188457120879</v>
      </c>
      <c r="F209">
        <v>-2.4341548486233667E-4</v>
      </c>
      <c r="G209">
        <v>-5.0387005366503684E-4</v>
      </c>
      <c r="H209">
        <v>-5.2150550554331306E-4</v>
      </c>
    </row>
    <row r="210" spans="1:8" x14ac:dyDescent="0.2">
      <c r="A210">
        <v>2.08</v>
      </c>
      <c r="B210">
        <v>-339.88745808360005</v>
      </c>
      <c r="C210">
        <v>-706.96591281388817</v>
      </c>
      <c r="D210">
        <v>-735.24454932644369</v>
      </c>
      <c r="F210">
        <v>-2.4341548486233667E-4</v>
      </c>
      <c r="G210">
        <v>-5.0630420851366029E-4</v>
      </c>
      <c r="H210">
        <v>-5.2655637685420677E-4</v>
      </c>
    </row>
    <row r="211" spans="1:8" x14ac:dyDescent="0.2">
      <c r="A211">
        <v>2.09</v>
      </c>
      <c r="B211">
        <v>-339.88745808360005</v>
      </c>
      <c r="C211">
        <v>-710.36478739472409</v>
      </c>
      <c r="D211">
        <v>-742.33120282748655</v>
      </c>
      <c r="F211">
        <v>-2.4341548486233667E-4</v>
      </c>
      <c r="G211">
        <v>-5.0873836336228363E-4</v>
      </c>
      <c r="H211">
        <v>-5.3163158971358631E-4</v>
      </c>
    </row>
    <row r="212" spans="1:8" x14ac:dyDescent="0.2">
      <c r="A212">
        <v>2.1</v>
      </c>
      <c r="B212">
        <v>-339.88745808360005</v>
      </c>
      <c r="C212">
        <v>-713.76366197556013</v>
      </c>
      <c r="D212">
        <v>-749.45184507433817</v>
      </c>
      <c r="F212">
        <v>-2.4341548486233667E-4</v>
      </c>
      <c r="G212">
        <v>-5.1117251821090708E-4</v>
      </c>
      <c r="H212">
        <v>-5.3673114412145244E-4</v>
      </c>
    </row>
    <row r="213" spans="1:8" x14ac:dyDescent="0.2">
      <c r="A213">
        <v>2.11</v>
      </c>
      <c r="B213">
        <v>-339.88745808360005</v>
      </c>
      <c r="C213">
        <v>-717.16253655639605</v>
      </c>
      <c r="D213">
        <v>-756.60647606699786</v>
      </c>
      <c r="F213">
        <v>-2.4341548486233667E-4</v>
      </c>
      <c r="G213">
        <v>-5.1360667305953031E-4</v>
      </c>
      <c r="H213">
        <v>-5.4185504007780451E-4</v>
      </c>
    </row>
    <row r="214" spans="1:8" x14ac:dyDescent="0.2">
      <c r="A214">
        <v>2.12</v>
      </c>
      <c r="B214">
        <v>-339.88745808360005</v>
      </c>
      <c r="C214">
        <v>-720.5614111372322</v>
      </c>
      <c r="D214">
        <v>-763.79509580546619</v>
      </c>
      <c r="F214">
        <v>-2.4341548486233667E-4</v>
      </c>
      <c r="G214">
        <v>-5.1604082790815387E-4</v>
      </c>
      <c r="H214">
        <v>-5.4700327758264308E-4</v>
      </c>
    </row>
    <row r="215" spans="1:8" x14ac:dyDescent="0.2">
      <c r="A215">
        <v>2.13</v>
      </c>
      <c r="B215">
        <v>-339.88745808360005</v>
      </c>
      <c r="C215">
        <v>-723.96028571806812</v>
      </c>
      <c r="D215">
        <v>-771.01770428974237</v>
      </c>
      <c r="F215">
        <v>-2.4341548486233667E-4</v>
      </c>
      <c r="G215">
        <v>-5.184749827567771E-4</v>
      </c>
      <c r="H215">
        <v>-5.5217585663596747E-4</v>
      </c>
    </row>
    <row r="216" spans="1:8" x14ac:dyDescent="0.2">
      <c r="A216">
        <v>2.14</v>
      </c>
      <c r="B216">
        <v>-339.88745808360005</v>
      </c>
      <c r="C216">
        <v>-727.35916029890416</v>
      </c>
      <c r="D216">
        <v>-778.27430151982742</v>
      </c>
      <c r="F216">
        <v>-2.4341548486233667E-4</v>
      </c>
      <c r="G216">
        <v>-5.2090913760540055E-4</v>
      </c>
      <c r="H216">
        <v>-5.5737277723777858E-4</v>
      </c>
    </row>
    <row r="217" spans="1:8" x14ac:dyDescent="0.2">
      <c r="A217">
        <v>2.15</v>
      </c>
      <c r="B217">
        <v>-339.88745808360005</v>
      </c>
      <c r="C217">
        <v>-730.75803487974008</v>
      </c>
      <c r="D217">
        <v>-785.56488749572054</v>
      </c>
      <c r="F217">
        <v>-2.4341548486233667E-4</v>
      </c>
      <c r="G217">
        <v>-5.2334329245402379E-4</v>
      </c>
      <c r="H217">
        <v>-5.6259403938807562E-4</v>
      </c>
    </row>
    <row r="218" spans="1:8" x14ac:dyDescent="0.2">
      <c r="A218">
        <v>2.16</v>
      </c>
      <c r="B218">
        <v>-339.88745808360005</v>
      </c>
      <c r="C218">
        <v>-734.15690946057612</v>
      </c>
      <c r="D218">
        <v>-792.88946221742231</v>
      </c>
      <c r="F218">
        <v>-2.4341548486233667E-4</v>
      </c>
      <c r="G218">
        <v>-5.2577744730264724E-4</v>
      </c>
      <c r="H218">
        <v>-5.6783964308685904E-4</v>
      </c>
    </row>
    <row r="219" spans="1:8" x14ac:dyDescent="0.2">
      <c r="A219">
        <v>2.17</v>
      </c>
      <c r="B219">
        <v>-339.88745808360005</v>
      </c>
      <c r="C219">
        <v>-737.55578404141204</v>
      </c>
      <c r="D219">
        <v>-800.24802568493214</v>
      </c>
      <c r="F219">
        <v>-2.4341548486233667E-4</v>
      </c>
      <c r="G219">
        <v>-5.2821160215127058E-4</v>
      </c>
      <c r="H219">
        <v>-5.7310958833412863E-4</v>
      </c>
    </row>
    <row r="220" spans="1:8" x14ac:dyDescent="0.2">
      <c r="A220">
        <v>2.1800000000000002</v>
      </c>
      <c r="B220">
        <v>-339.88745808360005</v>
      </c>
      <c r="C220">
        <v>-740.95465862224819</v>
      </c>
      <c r="D220">
        <v>-807.64057789825051</v>
      </c>
      <c r="F220">
        <v>-2.4341548486233667E-4</v>
      </c>
      <c r="G220">
        <v>-5.3064575699989403E-4</v>
      </c>
      <c r="H220">
        <v>-5.7840387512988448E-4</v>
      </c>
    </row>
    <row r="221" spans="1:8" x14ac:dyDescent="0.2">
      <c r="A221">
        <v>2.19</v>
      </c>
      <c r="B221">
        <v>-339.88745808360005</v>
      </c>
      <c r="C221">
        <v>-744.35353320308411</v>
      </c>
      <c r="D221">
        <v>-815.06711885737707</v>
      </c>
      <c r="F221">
        <v>-2.4341548486233667E-4</v>
      </c>
      <c r="G221">
        <v>-5.3307991184851737E-4</v>
      </c>
      <c r="H221">
        <v>-5.8372250347412649E-4</v>
      </c>
    </row>
    <row r="222" spans="1:8" x14ac:dyDescent="0.2">
      <c r="A222">
        <v>2.2000000000000002</v>
      </c>
      <c r="B222">
        <v>-339.88745808360005</v>
      </c>
      <c r="C222">
        <v>-747.75240778392015</v>
      </c>
      <c r="D222">
        <v>-822.52764856231227</v>
      </c>
      <c r="F222">
        <v>-2.4341548486233667E-4</v>
      </c>
      <c r="G222">
        <v>-5.3551406669714071E-4</v>
      </c>
      <c r="H222">
        <v>-5.8906547336685488E-4</v>
      </c>
    </row>
    <row r="223" spans="1:8" x14ac:dyDescent="0.2">
      <c r="A223">
        <v>2.21</v>
      </c>
      <c r="B223">
        <v>-339.88745808360005</v>
      </c>
      <c r="C223">
        <v>-751.15128236475607</v>
      </c>
      <c r="D223">
        <v>-830.02216701305554</v>
      </c>
      <c r="F223">
        <v>-2.4341548486233667E-4</v>
      </c>
      <c r="G223">
        <v>-5.3794822154576405E-4</v>
      </c>
      <c r="H223">
        <v>-5.9443278480806932E-4</v>
      </c>
    </row>
    <row r="224" spans="1:8" x14ac:dyDescent="0.2">
      <c r="A224">
        <v>2.2200000000000002</v>
      </c>
      <c r="B224">
        <v>-339.88745808360005</v>
      </c>
      <c r="C224">
        <v>-754.55015694559222</v>
      </c>
      <c r="D224">
        <v>-837.55067420960734</v>
      </c>
      <c r="F224">
        <v>-2.4341548486233667E-4</v>
      </c>
      <c r="G224">
        <v>-5.403823763943875E-4</v>
      </c>
      <c r="H224">
        <v>-5.9982443779777015E-4</v>
      </c>
    </row>
    <row r="225" spans="1:8" x14ac:dyDescent="0.2">
      <c r="A225">
        <v>2.23</v>
      </c>
      <c r="B225">
        <v>-339.88745808360005</v>
      </c>
      <c r="C225">
        <v>-757.94903152642814</v>
      </c>
      <c r="D225">
        <v>-845.11317015196732</v>
      </c>
      <c r="F225">
        <v>-2.4341548486233667E-4</v>
      </c>
      <c r="G225">
        <v>-5.4281653124301085E-4</v>
      </c>
      <c r="H225">
        <v>-6.0524043233595702E-4</v>
      </c>
    </row>
    <row r="226" spans="1:8" x14ac:dyDescent="0.2">
      <c r="A226">
        <v>2.2400000000000002</v>
      </c>
      <c r="B226">
        <v>-339.88745808360005</v>
      </c>
      <c r="C226">
        <v>-761.34790610726418</v>
      </c>
      <c r="D226">
        <v>-852.70965484013595</v>
      </c>
      <c r="F226">
        <v>-2.4341548486233667E-4</v>
      </c>
      <c r="G226">
        <v>-5.4525068609163419E-4</v>
      </c>
      <c r="H226">
        <v>-6.1068076842263038E-4</v>
      </c>
    </row>
    <row r="227" spans="1:8" x14ac:dyDescent="0.2">
      <c r="A227">
        <v>2.25</v>
      </c>
      <c r="B227">
        <v>-339.88745808360005</v>
      </c>
      <c r="C227">
        <v>-764.7467806881001</v>
      </c>
      <c r="D227">
        <v>-860.34012827411266</v>
      </c>
      <c r="F227">
        <v>-2.4341548486233667E-4</v>
      </c>
      <c r="G227">
        <v>-5.4768484094025753E-4</v>
      </c>
      <c r="H227">
        <v>-6.1614544605778968E-4</v>
      </c>
    </row>
    <row r="228" spans="1:8" x14ac:dyDescent="0.2">
      <c r="A228">
        <v>2.2599999999999998</v>
      </c>
      <c r="B228">
        <v>-339.88745808360005</v>
      </c>
      <c r="C228">
        <v>-768.14565526893603</v>
      </c>
      <c r="D228">
        <v>-868.00459045389766</v>
      </c>
      <c r="F228">
        <v>-2.4341548486233667E-4</v>
      </c>
      <c r="G228">
        <v>-5.5011899578888087E-4</v>
      </c>
      <c r="H228">
        <v>-6.2163446524143525E-4</v>
      </c>
    </row>
    <row r="229" spans="1:8" x14ac:dyDescent="0.2">
      <c r="A229">
        <v>2.27</v>
      </c>
      <c r="B229">
        <v>-339.88745808360005</v>
      </c>
      <c r="C229">
        <v>-771.54452984977218</v>
      </c>
      <c r="D229">
        <v>-875.70304137949131</v>
      </c>
      <c r="F229">
        <v>-2.4341548486233667E-4</v>
      </c>
      <c r="G229">
        <v>-5.5255315063750432E-4</v>
      </c>
      <c r="H229">
        <v>-6.2714782597356731E-4</v>
      </c>
    </row>
    <row r="230" spans="1:8" x14ac:dyDescent="0.2">
      <c r="A230">
        <v>2.2799999999999998</v>
      </c>
      <c r="B230">
        <v>-339.88745808360005</v>
      </c>
      <c r="C230">
        <v>-774.9434044306081</v>
      </c>
      <c r="D230">
        <v>-883.43548105089315</v>
      </c>
      <c r="F230">
        <v>-2.4341548486233667E-4</v>
      </c>
      <c r="G230">
        <v>-5.5498730548612766E-4</v>
      </c>
      <c r="H230">
        <v>-6.3268552825418542E-4</v>
      </c>
    </row>
    <row r="231" spans="1:8" x14ac:dyDescent="0.2">
      <c r="A231">
        <v>2.29</v>
      </c>
      <c r="B231">
        <v>-339.88745808360005</v>
      </c>
      <c r="C231">
        <v>-778.34227901144413</v>
      </c>
      <c r="D231">
        <v>-891.20190946810362</v>
      </c>
      <c r="F231">
        <v>-2.4341548486233667E-4</v>
      </c>
      <c r="G231">
        <v>-5.5742146033475101E-4</v>
      </c>
      <c r="H231">
        <v>-6.3824757208328991E-4</v>
      </c>
    </row>
    <row r="232" spans="1:8" x14ac:dyDescent="0.2">
      <c r="A232">
        <v>2.2999999999999998</v>
      </c>
      <c r="B232">
        <v>-339.88745808360005</v>
      </c>
      <c r="C232">
        <v>-781.74115359228006</v>
      </c>
      <c r="D232">
        <v>-899.00232663112195</v>
      </c>
      <c r="F232">
        <v>-2.4341548486233667E-4</v>
      </c>
      <c r="G232">
        <v>-5.5985561518337435E-4</v>
      </c>
      <c r="H232">
        <v>-6.4383395746088034E-4</v>
      </c>
    </row>
    <row r="233" spans="1:8" x14ac:dyDescent="0.2">
      <c r="A233">
        <v>2.31</v>
      </c>
      <c r="B233">
        <v>-339.88745808360005</v>
      </c>
      <c r="C233">
        <v>-785.14002817311609</v>
      </c>
      <c r="D233">
        <v>-906.83673253994914</v>
      </c>
      <c r="F233">
        <v>-2.4341548486233667E-4</v>
      </c>
      <c r="G233">
        <v>-5.6228977003199769E-4</v>
      </c>
      <c r="H233">
        <v>-6.4944468438695737E-4</v>
      </c>
    </row>
    <row r="234" spans="1:8" x14ac:dyDescent="0.2">
      <c r="A234">
        <v>2.3199999999999998</v>
      </c>
      <c r="B234">
        <v>-339.88745808360005</v>
      </c>
      <c r="C234">
        <v>-788.53890275395202</v>
      </c>
      <c r="D234">
        <v>-914.70512719458441</v>
      </c>
      <c r="F234">
        <v>-2.4341548486233667E-4</v>
      </c>
      <c r="G234">
        <v>-5.6472392488062103E-4</v>
      </c>
      <c r="H234">
        <v>-6.5507975286152045E-4</v>
      </c>
    </row>
    <row r="235" spans="1:8" x14ac:dyDescent="0.2">
      <c r="A235">
        <v>2.33</v>
      </c>
      <c r="B235">
        <v>-339.88745808360005</v>
      </c>
      <c r="C235">
        <v>-791.93777733478817</v>
      </c>
      <c r="D235">
        <v>-922.6075105950282</v>
      </c>
      <c r="F235">
        <v>-2.4341548486233667E-4</v>
      </c>
      <c r="G235">
        <v>-5.6715807972924448E-4</v>
      </c>
      <c r="H235">
        <v>-6.607391628845698E-4</v>
      </c>
    </row>
    <row r="236" spans="1:8" x14ac:dyDescent="0.2">
      <c r="A236">
        <v>2.34</v>
      </c>
      <c r="B236">
        <v>-339.88745808360005</v>
      </c>
      <c r="C236">
        <v>-795.33665191562409</v>
      </c>
      <c r="D236">
        <v>-930.54388274128007</v>
      </c>
      <c r="F236">
        <v>-2.4341548486233667E-4</v>
      </c>
      <c r="G236">
        <v>-5.6959223457786782E-4</v>
      </c>
      <c r="H236">
        <v>-6.664229144561052E-4</v>
      </c>
    </row>
    <row r="237" spans="1:8" x14ac:dyDescent="0.2">
      <c r="A237">
        <v>2.35</v>
      </c>
      <c r="B237">
        <v>-339.88745808360005</v>
      </c>
      <c r="C237">
        <v>-798.73552649646012</v>
      </c>
      <c r="D237">
        <v>-938.51424363334081</v>
      </c>
      <c r="F237">
        <v>-2.4341548486233667E-4</v>
      </c>
      <c r="G237">
        <v>-5.7202638942649116E-4</v>
      </c>
      <c r="H237">
        <v>-6.721310075761273E-4</v>
      </c>
    </row>
    <row r="238" spans="1:8" x14ac:dyDescent="0.2">
      <c r="A238">
        <v>2.36</v>
      </c>
      <c r="B238">
        <v>-339.88745808360005</v>
      </c>
      <c r="C238">
        <v>-802.13440107729605</v>
      </c>
      <c r="D238">
        <v>-946.51859327120928</v>
      </c>
      <c r="F238">
        <v>-2.4341548486233667E-4</v>
      </c>
      <c r="G238">
        <v>-5.7446054427511451E-4</v>
      </c>
      <c r="H238">
        <v>-6.7786344224463513E-4</v>
      </c>
    </row>
    <row r="239" spans="1:8" x14ac:dyDescent="0.2">
      <c r="A239">
        <v>2.37</v>
      </c>
      <c r="B239">
        <v>-339.88745808360005</v>
      </c>
      <c r="C239">
        <v>-805.5332756581322</v>
      </c>
      <c r="D239">
        <v>-954.55693165488663</v>
      </c>
      <c r="F239">
        <v>-2.4341548486233667E-4</v>
      </c>
      <c r="G239">
        <v>-5.7689469912373796E-4</v>
      </c>
      <c r="H239">
        <v>-6.8362021846162945E-4</v>
      </c>
    </row>
    <row r="240" spans="1:8" x14ac:dyDescent="0.2">
      <c r="A240">
        <v>2.38</v>
      </c>
      <c r="B240">
        <v>-339.88745808360005</v>
      </c>
      <c r="C240">
        <v>-808.93215023896812</v>
      </c>
      <c r="D240">
        <v>-962.62925878437204</v>
      </c>
      <c r="F240">
        <v>-2.4341548486233667E-4</v>
      </c>
      <c r="G240">
        <v>-5.793288539723613E-4</v>
      </c>
      <c r="H240">
        <v>-6.8940133622710992E-4</v>
      </c>
    </row>
    <row r="241" spans="1:8" x14ac:dyDescent="0.2">
      <c r="A241">
        <v>2.39</v>
      </c>
      <c r="B241">
        <v>-339.88745808360005</v>
      </c>
      <c r="C241">
        <v>-812.33102481980416</v>
      </c>
      <c r="D241">
        <v>-970.73557465966599</v>
      </c>
      <c r="F241">
        <v>-2.4341548486233667E-4</v>
      </c>
      <c r="G241">
        <v>-5.8176300882098464E-4</v>
      </c>
      <c r="H241">
        <v>-6.9520679554107667E-4</v>
      </c>
    </row>
    <row r="242" spans="1:8" x14ac:dyDescent="0.2">
      <c r="A242">
        <v>2.4</v>
      </c>
      <c r="B242">
        <v>-339.88745808360005</v>
      </c>
      <c r="C242">
        <v>-815.72989940064008</v>
      </c>
      <c r="D242">
        <v>-978.87587928076812</v>
      </c>
      <c r="F242">
        <v>-2.4341548486233667E-4</v>
      </c>
      <c r="G242">
        <v>-5.8419716366960798E-4</v>
      </c>
      <c r="H242">
        <v>-7.0103659640352958E-4</v>
      </c>
    </row>
    <row r="243" spans="1:8" x14ac:dyDescent="0.2">
      <c r="A243">
        <v>2.41</v>
      </c>
      <c r="B243">
        <v>-339.88745808360005</v>
      </c>
      <c r="C243">
        <v>-819.12877398147623</v>
      </c>
      <c r="D243">
        <v>-987.05017264767878</v>
      </c>
      <c r="F243">
        <v>-2.4341548486233667E-4</v>
      </c>
      <c r="G243">
        <v>-5.8663131851823143E-4</v>
      </c>
      <c r="H243">
        <v>-7.0689073881446886E-4</v>
      </c>
    </row>
    <row r="244" spans="1:8" x14ac:dyDescent="0.2">
      <c r="A244">
        <v>2.42</v>
      </c>
      <c r="B244">
        <v>-339.88745808360005</v>
      </c>
      <c r="C244">
        <v>-822.52764856231215</v>
      </c>
      <c r="D244">
        <v>-995.25845476039763</v>
      </c>
      <c r="F244">
        <v>-2.4341548486233667E-4</v>
      </c>
      <c r="G244">
        <v>-5.8906547336685477E-4</v>
      </c>
      <c r="H244">
        <v>-7.127692227738942E-4</v>
      </c>
    </row>
    <row r="245" spans="1:8" x14ac:dyDescent="0.2">
      <c r="A245">
        <v>2.4300000000000002</v>
      </c>
      <c r="B245">
        <v>-339.88745808360005</v>
      </c>
      <c r="C245">
        <v>-825.92652314314819</v>
      </c>
      <c r="D245">
        <v>-1003.500725618925</v>
      </c>
      <c r="F245">
        <v>-2.4341548486233667E-4</v>
      </c>
      <c r="G245">
        <v>-5.9149962821547822E-4</v>
      </c>
      <c r="H245">
        <v>-7.1867204828180591E-4</v>
      </c>
    </row>
    <row r="246" spans="1:8" x14ac:dyDescent="0.2">
      <c r="A246">
        <v>2.44</v>
      </c>
      <c r="B246">
        <v>-339.88745808360005</v>
      </c>
      <c r="C246">
        <v>-829.32539772398411</v>
      </c>
      <c r="D246">
        <v>-1011.7769852232606</v>
      </c>
      <c r="F246">
        <v>-2.4341548486233667E-4</v>
      </c>
      <c r="G246">
        <v>-5.9393378306410146E-4</v>
      </c>
      <c r="H246">
        <v>-7.2459921533820379E-4</v>
      </c>
    </row>
    <row r="247" spans="1:8" x14ac:dyDescent="0.2">
      <c r="A247">
        <v>2.4500000000000002</v>
      </c>
      <c r="B247">
        <v>-339.88745808360005</v>
      </c>
      <c r="C247">
        <v>-832.72427230482015</v>
      </c>
      <c r="D247">
        <v>-1020.0872335734049</v>
      </c>
      <c r="F247">
        <v>-2.4341548486233667E-4</v>
      </c>
      <c r="G247">
        <v>-5.9636793791272491E-4</v>
      </c>
      <c r="H247">
        <v>-7.3055072394308815E-4</v>
      </c>
    </row>
    <row r="248" spans="1:8" x14ac:dyDescent="0.2">
      <c r="A248">
        <v>2.46</v>
      </c>
      <c r="B248">
        <v>-339.88745808360005</v>
      </c>
      <c r="C248">
        <v>-836.12314688565607</v>
      </c>
      <c r="D248">
        <v>-1028.4314706693569</v>
      </c>
      <c r="F248">
        <v>-2.4341548486233667E-4</v>
      </c>
      <c r="G248">
        <v>-5.9880209276134814E-4</v>
      </c>
      <c r="H248">
        <v>-7.3652657409645824E-4</v>
      </c>
    </row>
    <row r="249" spans="1:8" x14ac:dyDescent="0.2">
      <c r="A249">
        <v>2.4700000000000002</v>
      </c>
      <c r="B249">
        <v>-339.88745808360005</v>
      </c>
      <c r="C249">
        <v>-839.52202146649222</v>
      </c>
      <c r="D249">
        <v>-1036.8096965111179</v>
      </c>
      <c r="F249">
        <v>-2.4341548486233667E-4</v>
      </c>
      <c r="G249">
        <v>-6.012362476099717E-4</v>
      </c>
      <c r="H249">
        <v>-7.4252676579831503E-4</v>
      </c>
    </row>
    <row r="250" spans="1:8" x14ac:dyDescent="0.2">
      <c r="A250">
        <v>2.48</v>
      </c>
      <c r="B250">
        <v>-339.88745808360005</v>
      </c>
      <c r="C250">
        <v>-842.92089604732814</v>
      </c>
      <c r="D250">
        <v>-1045.2219110986869</v>
      </c>
      <c r="F250">
        <v>-2.4341548486233667E-4</v>
      </c>
      <c r="G250">
        <v>-6.0367040245859493E-4</v>
      </c>
      <c r="H250">
        <v>-7.4855129904865777E-4</v>
      </c>
    </row>
    <row r="251" spans="1:8" x14ac:dyDescent="0.2">
      <c r="A251">
        <v>2.4900000000000002</v>
      </c>
      <c r="B251">
        <v>-339.88745808360005</v>
      </c>
      <c r="C251">
        <v>-846.31977062816418</v>
      </c>
      <c r="D251">
        <v>-1053.6681144320644</v>
      </c>
      <c r="F251">
        <v>-2.4341548486233667E-4</v>
      </c>
      <c r="G251">
        <v>-6.0610455730721838E-4</v>
      </c>
      <c r="H251">
        <v>-7.5460017384748688E-4</v>
      </c>
    </row>
    <row r="252" spans="1:8" x14ac:dyDescent="0.2">
      <c r="A252">
        <v>2.5</v>
      </c>
      <c r="B252">
        <v>-339.88745808360005</v>
      </c>
      <c r="C252">
        <v>-849.7186452090001</v>
      </c>
      <c r="D252">
        <v>-1062.1483065112502</v>
      </c>
      <c r="F252">
        <v>-2.4341548486233667E-4</v>
      </c>
      <c r="G252">
        <v>-6.0853871215584172E-4</v>
      </c>
      <c r="H252">
        <v>-7.6067339019480215E-4</v>
      </c>
    </row>
    <row r="253" spans="1:8" x14ac:dyDescent="0.2">
      <c r="A253">
        <v>2.5099999999999998</v>
      </c>
      <c r="B253">
        <v>-339.88745808360005</v>
      </c>
      <c r="C253">
        <v>-853.11751978983602</v>
      </c>
      <c r="D253">
        <v>-1070.6624873362441</v>
      </c>
      <c r="F253">
        <v>-2.4341548486233667E-4</v>
      </c>
      <c r="G253">
        <v>-6.1097286700446496E-4</v>
      </c>
      <c r="H253">
        <v>-7.6677094809060348E-4</v>
      </c>
    </row>
    <row r="254" spans="1:8" x14ac:dyDescent="0.2">
      <c r="A254">
        <v>2.52</v>
      </c>
      <c r="B254">
        <v>-339.88745808360005</v>
      </c>
      <c r="C254">
        <v>-856.51639437067217</v>
      </c>
      <c r="D254">
        <v>-1079.210656907047</v>
      </c>
      <c r="F254">
        <v>-2.4341548486233667E-4</v>
      </c>
      <c r="G254">
        <v>-6.1340702185308841E-4</v>
      </c>
      <c r="H254">
        <v>-7.7289284753489151E-4</v>
      </c>
    </row>
    <row r="255" spans="1:8" x14ac:dyDescent="0.2">
      <c r="A255">
        <v>2.5299999999999998</v>
      </c>
      <c r="B255">
        <v>-339.88745808360005</v>
      </c>
      <c r="C255">
        <v>-859.9152689515081</v>
      </c>
      <c r="D255">
        <v>-1087.7928152236577</v>
      </c>
      <c r="F255">
        <v>-2.4341548486233667E-4</v>
      </c>
      <c r="G255">
        <v>-6.1584117670171175E-4</v>
      </c>
      <c r="H255">
        <v>-7.7903908852766538E-4</v>
      </c>
    </row>
    <row r="256" spans="1:8" x14ac:dyDescent="0.2">
      <c r="A256">
        <v>2.54</v>
      </c>
      <c r="B256">
        <v>-339.88745808360005</v>
      </c>
      <c r="C256">
        <v>-863.31414353234413</v>
      </c>
      <c r="D256">
        <v>-1096.408962286077</v>
      </c>
      <c r="F256">
        <v>-2.4341548486233667E-4</v>
      </c>
      <c r="G256">
        <v>-6.182753315503352E-4</v>
      </c>
      <c r="H256">
        <v>-7.8520967106892562E-4</v>
      </c>
    </row>
    <row r="257" spans="1:8" x14ac:dyDescent="0.2">
      <c r="A257">
        <v>2.5499999999999998</v>
      </c>
      <c r="B257">
        <v>-339.88745808360005</v>
      </c>
      <c r="C257">
        <v>-866.71301811318006</v>
      </c>
      <c r="D257">
        <v>-1105.0590980943045</v>
      </c>
      <c r="F257">
        <v>-2.4341548486233667E-4</v>
      </c>
      <c r="G257">
        <v>-6.2070948639895843E-4</v>
      </c>
      <c r="H257">
        <v>-7.9140459515867202E-4</v>
      </c>
    </row>
    <row r="258" spans="1:8" x14ac:dyDescent="0.2">
      <c r="A258">
        <v>2.56</v>
      </c>
      <c r="B258">
        <v>-339.88745808360005</v>
      </c>
      <c r="C258">
        <v>-870.11189269401621</v>
      </c>
      <c r="D258">
        <v>-1113.7432226483406</v>
      </c>
      <c r="F258">
        <v>-2.4341548486233667E-4</v>
      </c>
      <c r="G258">
        <v>-6.2314364124758199E-4</v>
      </c>
      <c r="H258">
        <v>-7.976238607969048E-4</v>
      </c>
    </row>
    <row r="259" spans="1:8" x14ac:dyDescent="0.2">
      <c r="A259">
        <v>2.57</v>
      </c>
      <c r="B259">
        <v>-339.88745808360005</v>
      </c>
      <c r="C259">
        <v>-873.51076727485213</v>
      </c>
      <c r="D259">
        <v>-1122.4613359481848</v>
      </c>
      <c r="F259">
        <v>-2.4341548486233667E-4</v>
      </c>
      <c r="G259">
        <v>-6.2557779609620522E-4</v>
      </c>
      <c r="H259">
        <v>-8.0386746798362363E-4</v>
      </c>
    </row>
    <row r="260" spans="1:8" x14ac:dyDescent="0.2">
      <c r="A260">
        <v>2.58</v>
      </c>
      <c r="B260">
        <v>-339.88745808360005</v>
      </c>
      <c r="C260">
        <v>-876.90964185568816</v>
      </c>
      <c r="D260">
        <v>-1131.2134379938377</v>
      </c>
      <c r="F260">
        <v>-2.4341548486233667E-4</v>
      </c>
      <c r="G260">
        <v>-6.2801195094482867E-4</v>
      </c>
      <c r="H260">
        <v>-8.1013541671882895E-4</v>
      </c>
    </row>
    <row r="261" spans="1:8" x14ac:dyDescent="0.2">
      <c r="A261">
        <v>2.59</v>
      </c>
      <c r="B261">
        <v>-339.88745808360005</v>
      </c>
      <c r="C261">
        <v>-880.30851643652409</v>
      </c>
      <c r="D261">
        <v>-1139.9995287852987</v>
      </c>
      <c r="F261">
        <v>-2.4341548486233667E-4</v>
      </c>
      <c r="G261">
        <v>-6.3044610579345191E-4</v>
      </c>
      <c r="H261">
        <v>-8.1642770700252032E-4</v>
      </c>
    </row>
    <row r="262" spans="1:8" x14ac:dyDescent="0.2">
      <c r="A262">
        <v>2.6</v>
      </c>
      <c r="B262">
        <v>-339.88745808360005</v>
      </c>
      <c r="C262">
        <v>-883.70739101736012</v>
      </c>
      <c r="D262">
        <v>-1148.8196083225682</v>
      </c>
      <c r="F262">
        <v>-2.4341548486233667E-4</v>
      </c>
      <c r="G262">
        <v>-6.3288026064207536E-4</v>
      </c>
      <c r="H262">
        <v>-8.2274433883469797E-4</v>
      </c>
    </row>
    <row r="263" spans="1:8" x14ac:dyDescent="0.2">
      <c r="A263">
        <v>2.61</v>
      </c>
      <c r="B263">
        <v>-339.88745808360005</v>
      </c>
      <c r="C263">
        <v>-887.10626559819605</v>
      </c>
      <c r="D263">
        <v>-1157.6736766056458</v>
      </c>
      <c r="F263">
        <v>-2.4341548486233667E-4</v>
      </c>
      <c r="G263">
        <v>-6.353144154906987E-4</v>
      </c>
      <c r="H263">
        <v>-8.2908531221536177E-4</v>
      </c>
    </row>
    <row r="264" spans="1:8" x14ac:dyDescent="0.2">
      <c r="A264">
        <v>2.62</v>
      </c>
      <c r="B264">
        <v>-339.88745808360005</v>
      </c>
      <c r="C264">
        <v>-890.5051401790322</v>
      </c>
      <c r="D264">
        <v>-1166.5617336345322</v>
      </c>
      <c r="F264">
        <v>-2.4341548486233667E-4</v>
      </c>
      <c r="G264">
        <v>-6.3774857033932215E-4</v>
      </c>
      <c r="H264">
        <v>-8.3545062714451195E-4</v>
      </c>
    </row>
    <row r="265" spans="1:8" x14ac:dyDescent="0.2">
      <c r="A265">
        <v>2.63</v>
      </c>
      <c r="B265">
        <v>-339.88745808360005</v>
      </c>
      <c r="C265">
        <v>-893.90401475986812</v>
      </c>
      <c r="D265">
        <v>-1175.4837794092264</v>
      </c>
      <c r="F265">
        <v>-2.4341548486233667E-4</v>
      </c>
      <c r="G265">
        <v>-6.4018272518794549E-4</v>
      </c>
      <c r="H265">
        <v>-8.4184028362214807E-4</v>
      </c>
    </row>
    <row r="266" spans="1:8" x14ac:dyDescent="0.2">
      <c r="A266">
        <v>2.64</v>
      </c>
      <c r="B266">
        <v>-339.88745808360005</v>
      </c>
      <c r="C266">
        <v>-897.30288934070416</v>
      </c>
      <c r="D266">
        <v>-1184.4398139297296</v>
      </c>
      <c r="F266">
        <v>-2.4341548486233667E-4</v>
      </c>
      <c r="G266">
        <v>-6.4261688003656883E-4</v>
      </c>
      <c r="H266">
        <v>-8.482542816482709E-4</v>
      </c>
    </row>
    <row r="267" spans="1:8" x14ac:dyDescent="0.2">
      <c r="A267">
        <v>2.65</v>
      </c>
      <c r="B267">
        <v>-339.88745808360005</v>
      </c>
      <c r="C267">
        <v>-900.70176392154008</v>
      </c>
      <c r="D267">
        <v>-1193.4298371960406</v>
      </c>
      <c r="F267">
        <v>-2.4341548486233667E-4</v>
      </c>
      <c r="G267">
        <v>-6.4505103488519218E-4</v>
      </c>
      <c r="H267">
        <v>-8.5469262122287956E-4</v>
      </c>
    </row>
    <row r="268" spans="1:8" x14ac:dyDescent="0.2">
      <c r="A268">
        <v>2.66</v>
      </c>
      <c r="B268">
        <v>-339.88745808360005</v>
      </c>
      <c r="C268">
        <v>-904.10063850237623</v>
      </c>
      <c r="D268">
        <v>-1202.4538492081604</v>
      </c>
      <c r="F268">
        <v>-2.4341548486233667E-4</v>
      </c>
      <c r="G268">
        <v>-6.4748518973381563E-4</v>
      </c>
      <c r="H268">
        <v>-8.6115530234597481E-4</v>
      </c>
    </row>
    <row r="269" spans="1:8" x14ac:dyDescent="0.2">
      <c r="A269">
        <v>2.67</v>
      </c>
      <c r="B269">
        <v>-339.88745808360005</v>
      </c>
      <c r="C269">
        <v>-907.49951308321215</v>
      </c>
      <c r="D269">
        <v>-1211.5118499660882</v>
      </c>
      <c r="F269">
        <v>-2.4341548486233667E-4</v>
      </c>
      <c r="G269">
        <v>-6.4991934458243897E-4</v>
      </c>
      <c r="H269">
        <v>-8.6764232501755601E-4</v>
      </c>
    </row>
    <row r="270" spans="1:8" x14ac:dyDescent="0.2">
      <c r="A270">
        <v>2.68</v>
      </c>
      <c r="B270">
        <v>-339.88745808360005</v>
      </c>
      <c r="C270">
        <v>-910.89838766404819</v>
      </c>
      <c r="D270">
        <v>-1220.6038394698246</v>
      </c>
      <c r="F270">
        <v>-2.4341548486233667E-4</v>
      </c>
      <c r="G270">
        <v>-6.5235349943106231E-4</v>
      </c>
      <c r="H270">
        <v>-8.7415368923762359E-4</v>
      </c>
    </row>
    <row r="271" spans="1:8" x14ac:dyDescent="0.2">
      <c r="A271">
        <v>2.69</v>
      </c>
      <c r="B271">
        <v>-339.88745808360005</v>
      </c>
      <c r="C271">
        <v>-914.29726224488411</v>
      </c>
      <c r="D271">
        <v>-1229.7298177193691</v>
      </c>
      <c r="F271">
        <v>-2.4341548486233667E-4</v>
      </c>
      <c r="G271">
        <v>-6.5478765427968565E-4</v>
      </c>
      <c r="H271">
        <v>-8.8068939500617711E-4</v>
      </c>
    </row>
    <row r="272" spans="1:8" x14ac:dyDescent="0.2">
      <c r="A272">
        <v>2.7</v>
      </c>
      <c r="B272">
        <v>-339.88745808360005</v>
      </c>
      <c r="C272">
        <v>-917.69613682572015</v>
      </c>
      <c r="D272">
        <v>-1238.8897847147223</v>
      </c>
      <c r="F272">
        <v>-2.4341548486233667E-4</v>
      </c>
      <c r="G272">
        <v>-6.5722180912830899E-4</v>
      </c>
      <c r="H272">
        <v>-8.8724944232321723E-4</v>
      </c>
    </row>
    <row r="273" spans="1:8" x14ac:dyDescent="0.2">
      <c r="A273">
        <v>2.71</v>
      </c>
      <c r="B273">
        <v>-339.88745808360005</v>
      </c>
      <c r="C273">
        <v>-921.09501140655618</v>
      </c>
      <c r="D273">
        <v>-1248.0837404558836</v>
      </c>
      <c r="F273">
        <v>-2.4341548486233667E-4</v>
      </c>
      <c r="G273">
        <v>-6.5965596397693244E-4</v>
      </c>
      <c r="H273">
        <v>-8.9383383118874339E-4</v>
      </c>
    </row>
    <row r="274" spans="1:8" x14ac:dyDescent="0.2">
      <c r="A274">
        <v>2.72</v>
      </c>
      <c r="B274">
        <v>-339.88745808360005</v>
      </c>
      <c r="C274">
        <v>-924.49388598739222</v>
      </c>
      <c r="D274">
        <v>-1257.3116849428536</v>
      </c>
      <c r="F274">
        <v>-2.4341548486233667E-4</v>
      </c>
      <c r="G274">
        <v>-6.6209011882555578E-4</v>
      </c>
      <c r="H274">
        <v>-9.0044256160275605E-4</v>
      </c>
    </row>
    <row r="275" spans="1:8" x14ac:dyDescent="0.2">
      <c r="A275">
        <v>2.73</v>
      </c>
      <c r="B275">
        <v>-339.88745808360005</v>
      </c>
      <c r="C275">
        <v>-927.89276056822814</v>
      </c>
      <c r="D275">
        <v>-1266.5736181756313</v>
      </c>
      <c r="F275">
        <v>-2.4341548486233667E-4</v>
      </c>
      <c r="G275">
        <v>-6.6452427367417913E-4</v>
      </c>
      <c r="H275">
        <v>-9.0707563356525443E-4</v>
      </c>
    </row>
    <row r="276" spans="1:8" x14ac:dyDescent="0.2">
      <c r="A276">
        <v>2.74</v>
      </c>
      <c r="B276">
        <v>-339.88745808360005</v>
      </c>
      <c r="C276">
        <v>-931.29163514906418</v>
      </c>
      <c r="D276">
        <v>-1275.8695401542179</v>
      </c>
      <c r="F276">
        <v>-2.4341548486233667E-4</v>
      </c>
      <c r="G276">
        <v>-6.6695842852280247E-4</v>
      </c>
      <c r="H276">
        <v>-9.1373304707623941E-4</v>
      </c>
    </row>
    <row r="277" spans="1:8" x14ac:dyDescent="0.2">
      <c r="A277">
        <v>2.75</v>
      </c>
      <c r="B277">
        <v>-339.88745808360005</v>
      </c>
      <c r="C277">
        <v>-934.6905097299001</v>
      </c>
      <c r="D277">
        <v>-1285.1994508786127</v>
      </c>
      <c r="F277">
        <v>-2.4341548486233667E-4</v>
      </c>
      <c r="G277">
        <v>-6.6939258337142581E-4</v>
      </c>
      <c r="H277">
        <v>-9.2041480213571054E-4</v>
      </c>
    </row>
    <row r="278" spans="1:8" x14ac:dyDescent="0.2">
      <c r="A278">
        <v>2.76</v>
      </c>
      <c r="B278">
        <v>-339.88745808360005</v>
      </c>
      <c r="C278">
        <v>-938.08938431073602</v>
      </c>
      <c r="D278">
        <v>-1294.5633503488157</v>
      </c>
      <c r="F278">
        <v>-2.4341548486233667E-4</v>
      </c>
      <c r="G278">
        <v>-6.7182673822004915E-4</v>
      </c>
      <c r="H278">
        <v>-9.2712089874366784E-4</v>
      </c>
    </row>
    <row r="279" spans="1:8" x14ac:dyDescent="0.2">
      <c r="A279">
        <v>2.77</v>
      </c>
      <c r="B279">
        <v>-339.88745808360005</v>
      </c>
      <c r="C279">
        <v>-941.48825889157217</v>
      </c>
      <c r="D279">
        <v>-1303.9612385648275</v>
      </c>
      <c r="F279">
        <v>-2.4341548486233667E-4</v>
      </c>
      <c r="G279">
        <v>-6.742608930686726E-4</v>
      </c>
      <c r="H279">
        <v>-9.3385133690011162E-4</v>
      </c>
    </row>
    <row r="280" spans="1:8" x14ac:dyDescent="0.2">
      <c r="A280">
        <v>2.78</v>
      </c>
      <c r="B280">
        <v>-339.88745808360005</v>
      </c>
      <c r="C280">
        <v>-944.8871334724081</v>
      </c>
      <c r="D280">
        <v>-1313.3931155266471</v>
      </c>
      <c r="F280">
        <v>-2.4341548486233667E-4</v>
      </c>
      <c r="G280">
        <v>-6.7669504791729594E-4</v>
      </c>
      <c r="H280">
        <v>-9.4060611660504124E-4</v>
      </c>
    </row>
    <row r="281" spans="1:8" x14ac:dyDescent="0.2">
      <c r="A281">
        <v>2.79</v>
      </c>
      <c r="B281">
        <v>-339.88745808360005</v>
      </c>
      <c r="C281">
        <v>-948.28600805324413</v>
      </c>
      <c r="D281">
        <v>-1322.8589812342757</v>
      </c>
      <c r="F281">
        <v>-2.4341548486233667E-4</v>
      </c>
      <c r="G281">
        <v>-6.7912920276591928E-4</v>
      </c>
      <c r="H281">
        <v>-9.4738523785845756E-4</v>
      </c>
    </row>
    <row r="282" spans="1:8" x14ac:dyDescent="0.2">
      <c r="A282">
        <v>2.8</v>
      </c>
      <c r="B282">
        <v>-339.88745808360005</v>
      </c>
      <c r="C282">
        <v>-951.68488263408005</v>
      </c>
      <c r="D282">
        <v>-1332.3588356877119</v>
      </c>
      <c r="F282">
        <v>-2.4341548486233667E-4</v>
      </c>
      <c r="G282">
        <v>-6.8156335761454263E-4</v>
      </c>
      <c r="H282">
        <v>-9.5418870066035961E-4</v>
      </c>
    </row>
    <row r="283" spans="1:8" x14ac:dyDescent="0.2">
      <c r="A283">
        <v>2.81</v>
      </c>
      <c r="B283">
        <v>-339.88745808360005</v>
      </c>
      <c r="C283">
        <v>-955.0837572149162</v>
      </c>
      <c r="D283">
        <v>-1341.8926788869574</v>
      </c>
      <c r="F283">
        <v>-2.4341548486233667E-4</v>
      </c>
      <c r="G283">
        <v>-6.8399751246316608E-4</v>
      </c>
      <c r="H283">
        <v>-9.6101650501074847E-4</v>
      </c>
    </row>
    <row r="284" spans="1:8" x14ac:dyDescent="0.2">
      <c r="A284">
        <v>2.82</v>
      </c>
      <c r="B284">
        <v>-339.88745808360005</v>
      </c>
      <c r="C284">
        <v>-958.48263179575213</v>
      </c>
      <c r="D284">
        <v>-1351.4605108320104</v>
      </c>
      <c r="F284">
        <v>-2.4341548486233667E-4</v>
      </c>
      <c r="G284">
        <v>-6.8643166731178942E-4</v>
      </c>
      <c r="H284">
        <v>-9.6786865090962306E-4</v>
      </c>
    </row>
    <row r="285" spans="1:8" x14ac:dyDescent="0.2">
      <c r="A285">
        <v>2.83</v>
      </c>
      <c r="B285">
        <v>-339.88745808360005</v>
      </c>
      <c r="C285">
        <v>-961.88150637658816</v>
      </c>
      <c r="D285">
        <v>-1361.0623315228722</v>
      </c>
      <c r="F285">
        <v>-2.4341548486233667E-4</v>
      </c>
      <c r="G285">
        <v>-6.8886582216041276E-4</v>
      </c>
      <c r="H285">
        <v>-9.7474513835698413E-4</v>
      </c>
    </row>
    <row r="286" spans="1:8" x14ac:dyDescent="0.2">
      <c r="A286">
        <v>2.84</v>
      </c>
      <c r="B286">
        <v>-339.88745808360005</v>
      </c>
      <c r="C286">
        <v>-965.28038095742409</v>
      </c>
      <c r="D286">
        <v>-1370.6981409595423</v>
      </c>
      <c r="F286">
        <v>-2.4341548486233667E-4</v>
      </c>
      <c r="G286">
        <v>-6.912999770090361E-4</v>
      </c>
      <c r="H286">
        <v>-9.8164596735283148E-4</v>
      </c>
    </row>
    <row r="287" spans="1:8" x14ac:dyDescent="0.2">
      <c r="A287">
        <v>2.85</v>
      </c>
      <c r="B287">
        <v>-339.88745808360005</v>
      </c>
      <c r="C287">
        <v>-968.67925553826012</v>
      </c>
      <c r="D287">
        <v>-1380.3679391420208</v>
      </c>
      <c r="F287">
        <v>-2.4341548486233667E-4</v>
      </c>
      <c r="G287">
        <v>-6.9373413185765955E-4</v>
      </c>
      <c r="H287">
        <v>-9.8857113789716476E-4</v>
      </c>
    </row>
    <row r="288" spans="1:8" x14ac:dyDescent="0.2">
      <c r="A288">
        <v>2.86</v>
      </c>
      <c r="B288">
        <v>-339.88745808360005</v>
      </c>
      <c r="C288">
        <v>-972.07813011909616</v>
      </c>
      <c r="D288">
        <v>-1390.0717260703072</v>
      </c>
      <c r="F288">
        <v>-2.4341548486233667E-4</v>
      </c>
      <c r="G288">
        <v>-6.9616828670628289E-4</v>
      </c>
      <c r="H288">
        <v>-9.9552064998998432E-4</v>
      </c>
    </row>
    <row r="289" spans="1:8" x14ac:dyDescent="0.2">
      <c r="A289">
        <v>2.87</v>
      </c>
      <c r="B289">
        <v>-339.88745808360005</v>
      </c>
      <c r="C289">
        <v>-975.47700469993219</v>
      </c>
      <c r="D289">
        <v>-1399.8095017444027</v>
      </c>
      <c r="F289">
        <v>-2.4341548486233667E-4</v>
      </c>
      <c r="G289">
        <v>-6.9860244155490634E-4</v>
      </c>
      <c r="H289">
        <v>-1.0024945036312906E-3</v>
      </c>
    </row>
    <row r="290" spans="1:8" x14ac:dyDescent="0.2">
      <c r="A290">
        <v>2.88</v>
      </c>
      <c r="B290">
        <v>-339.88745808360005</v>
      </c>
      <c r="C290">
        <v>-978.87587928076812</v>
      </c>
      <c r="D290">
        <v>-1409.581266164306</v>
      </c>
      <c r="F290">
        <v>-2.4341548486233667E-4</v>
      </c>
      <c r="G290">
        <v>-7.0103659640352958E-4</v>
      </c>
      <c r="H290">
        <v>-1.0094926988210827E-3</v>
      </c>
    </row>
    <row r="291" spans="1:8" x14ac:dyDescent="0.2">
      <c r="A291">
        <v>2.89</v>
      </c>
      <c r="B291">
        <v>-339.88745808360005</v>
      </c>
      <c r="C291">
        <v>-982.27475386160415</v>
      </c>
      <c r="D291">
        <v>-1419.3870193300181</v>
      </c>
      <c r="F291">
        <v>-2.4341548486233667E-4</v>
      </c>
      <c r="G291">
        <v>-7.0347075125215303E-4</v>
      </c>
      <c r="H291">
        <v>-1.0165152355593612E-3</v>
      </c>
    </row>
    <row r="292" spans="1:8" x14ac:dyDescent="0.2">
      <c r="A292">
        <v>2.9</v>
      </c>
      <c r="B292">
        <v>-339.88745808360005</v>
      </c>
      <c r="C292">
        <v>-985.67362844244008</v>
      </c>
      <c r="D292">
        <v>-1429.2267612415383</v>
      </c>
      <c r="F292">
        <v>-2.4341548486233667E-4</v>
      </c>
      <c r="G292">
        <v>-7.0590490610077626E-4</v>
      </c>
      <c r="H292">
        <v>-1.0235621138461257E-3</v>
      </c>
    </row>
    <row r="293" spans="1:8" x14ac:dyDescent="0.2">
      <c r="A293">
        <v>2.91</v>
      </c>
      <c r="B293">
        <v>-339.88745808360005</v>
      </c>
      <c r="C293">
        <v>-989.07250302327623</v>
      </c>
      <c r="D293">
        <v>-1439.1004918988669</v>
      </c>
      <c r="F293">
        <v>-2.4341548486233667E-4</v>
      </c>
      <c r="G293">
        <v>-7.0833906094939982E-4</v>
      </c>
      <c r="H293">
        <v>-1.0306333336813768E-3</v>
      </c>
    </row>
    <row r="294" spans="1:8" x14ac:dyDescent="0.2">
      <c r="A294">
        <v>2.92</v>
      </c>
      <c r="B294">
        <v>-339.88745808360005</v>
      </c>
      <c r="C294">
        <v>-992.47137760411215</v>
      </c>
      <c r="D294">
        <v>-1449.0082113020035</v>
      </c>
      <c r="F294">
        <v>-2.4341548486233667E-4</v>
      </c>
      <c r="G294">
        <v>-7.1077321579802305E-4</v>
      </c>
      <c r="H294">
        <v>-1.0377288950651135E-3</v>
      </c>
    </row>
    <row r="295" spans="1:8" x14ac:dyDescent="0.2">
      <c r="A295">
        <v>2.93</v>
      </c>
      <c r="B295">
        <v>-339.88745808360005</v>
      </c>
      <c r="C295">
        <v>-995.87025218494819</v>
      </c>
      <c r="D295">
        <v>-1458.9499194509492</v>
      </c>
      <c r="F295">
        <v>-2.4341548486233667E-4</v>
      </c>
      <c r="G295">
        <v>-7.132073706466465E-4</v>
      </c>
      <c r="H295">
        <v>-1.0448487979973372E-3</v>
      </c>
    </row>
    <row r="296" spans="1:8" x14ac:dyDescent="0.2">
      <c r="A296">
        <v>2.94</v>
      </c>
      <c r="B296">
        <v>-339.88745808360005</v>
      </c>
      <c r="C296">
        <v>-999.26912676578411</v>
      </c>
      <c r="D296">
        <v>-1468.9256163457026</v>
      </c>
      <c r="F296">
        <v>-2.4341548486233667E-4</v>
      </c>
      <c r="G296">
        <v>-7.1564152549526984E-4</v>
      </c>
      <c r="H296">
        <v>-1.0519930424780465E-3</v>
      </c>
    </row>
    <row r="297" spans="1:8" x14ac:dyDescent="0.2">
      <c r="A297">
        <v>2.95</v>
      </c>
      <c r="B297">
        <v>-339.88745808360005</v>
      </c>
      <c r="C297">
        <v>-1002.6680013466203</v>
      </c>
      <c r="D297">
        <v>-1478.9353019862649</v>
      </c>
      <c r="F297">
        <v>-2.4341548486233667E-4</v>
      </c>
      <c r="G297">
        <v>-7.1807568034389329E-4</v>
      </c>
      <c r="H297">
        <v>-1.0591616285072426E-3</v>
      </c>
    </row>
    <row r="298" spans="1:8" x14ac:dyDescent="0.2">
      <c r="A298">
        <v>2.96</v>
      </c>
      <c r="B298">
        <v>-339.88745808360005</v>
      </c>
      <c r="C298">
        <v>-1006.0668759274562</v>
      </c>
      <c r="D298">
        <v>-1488.9789763726351</v>
      </c>
      <c r="F298">
        <v>-2.4341548486233667E-4</v>
      </c>
      <c r="G298">
        <v>-7.2050983519251664E-4</v>
      </c>
      <c r="H298">
        <v>-1.0663545560849245E-3</v>
      </c>
    </row>
    <row r="299" spans="1:8" x14ac:dyDescent="0.2">
      <c r="A299">
        <v>2.97</v>
      </c>
      <c r="B299">
        <v>-339.88745808360005</v>
      </c>
      <c r="C299">
        <v>-1009.4657505082922</v>
      </c>
      <c r="D299">
        <v>-1499.0566395048143</v>
      </c>
      <c r="F299">
        <v>-2.4341548486233667E-4</v>
      </c>
      <c r="G299">
        <v>-7.2294399004113998E-4</v>
      </c>
      <c r="H299">
        <v>-1.0735718252110932E-3</v>
      </c>
    </row>
    <row r="300" spans="1:8" x14ac:dyDescent="0.2">
      <c r="A300">
        <v>2.98</v>
      </c>
      <c r="B300">
        <v>-339.88745808360005</v>
      </c>
      <c r="C300">
        <v>-1012.8646250891281</v>
      </c>
      <c r="D300">
        <v>-1509.1682913828008</v>
      </c>
      <c r="F300">
        <v>-2.4341548486233667E-4</v>
      </c>
      <c r="G300">
        <v>-7.2537814488976332E-4</v>
      </c>
      <c r="H300">
        <v>-1.0808134358857471E-3</v>
      </c>
    </row>
    <row r="301" spans="1:8" x14ac:dyDescent="0.2">
      <c r="A301">
        <v>2.99</v>
      </c>
      <c r="B301">
        <v>-339.88745808360005</v>
      </c>
      <c r="C301">
        <v>-1016.2634996699642</v>
      </c>
      <c r="D301">
        <v>-1519.3139320065966</v>
      </c>
      <c r="F301">
        <v>-2.4341548486233667E-4</v>
      </c>
      <c r="G301">
        <v>-7.2781229973838666E-4</v>
      </c>
      <c r="H301">
        <v>-1.0880793881088882E-3</v>
      </c>
    </row>
    <row r="302" spans="1:8" x14ac:dyDescent="0.2">
      <c r="A302">
        <v>3</v>
      </c>
      <c r="B302">
        <v>-339.88745808360005</v>
      </c>
      <c r="C302">
        <v>-1019.6623742508002</v>
      </c>
      <c r="D302">
        <v>-1529.4935613762002</v>
      </c>
      <c r="F302">
        <v>-2.4341548486233667E-4</v>
      </c>
      <c r="G302">
        <v>-7.3024645458701011E-4</v>
      </c>
      <c r="H302">
        <v>-1.0953696818805151E-3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Material_Proporties</vt:lpstr>
      <vt:lpstr>Canteliver Beam</vt:lpstr>
      <vt:lpstr>Diagrams</vt:lpstr>
      <vt:lpstr>DENSITY</vt:lpstr>
      <vt:lpstr>E</vt:lpstr>
      <vt:lpstr>Jz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Porter, Alex</dc:creator>
  <cp:lastModifiedBy>Alex Porter</cp:lastModifiedBy>
  <dcterms:created xsi:type="dcterms:W3CDTF">2023-12-14T18:54:11Z</dcterms:created>
  <dcterms:modified xsi:type="dcterms:W3CDTF">2024-01-16T17:00:57Z</dcterms:modified>
</cp:coreProperties>
</file>